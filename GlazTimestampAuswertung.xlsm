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hidePivotFieldList="1" defaultThemeVersion="124226"/>
  <bookViews>
    <workbookView xWindow="-15" yWindow="45" windowWidth="24240" windowHeight="10245" activeTab="4"/>
  </bookViews>
  <sheets>
    <sheet name="Original" sheetId="1" r:id="rId1"/>
    <sheet name="Start-Ende" sheetId="5" r:id="rId2"/>
    <sheet name="Themen (1)" sheetId="4" r:id="rId3"/>
    <sheet name="Themen (2)" sheetId="8" r:id="rId4"/>
    <sheet name="Einstellungen" sheetId="7" r:id="rId5"/>
  </sheets>
  <definedNames>
    <definedName name="_xlnm._FilterDatabase" localSheetId="0" hidden="1">Original!$A$2:$K$2</definedName>
    <definedName name="Daten">Original!$A$2:$K$37</definedName>
    <definedName name="ZEITSTEMPEL_FILE">Einstellungen!$B$9</definedName>
  </definedNames>
  <calcPr calcId="145621"/>
  <pivotCaches>
    <pivotCache cacheId="0" r:id="rId6"/>
  </pivotCaches>
</workbook>
</file>

<file path=xl/calcChain.xml><?xml version="1.0" encoding="utf-8"?>
<calcChain xmlns="http://schemas.openxmlformats.org/spreadsheetml/2006/main">
  <c r="E4" i="1" l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E9" i="1"/>
  <c r="F9" i="1"/>
  <c r="G9" i="1"/>
  <c r="H9" i="1"/>
  <c r="I9" i="1"/>
  <c r="J9" i="1"/>
  <c r="K9" i="1"/>
  <c r="E10" i="1"/>
  <c r="F10" i="1"/>
  <c r="G10" i="1"/>
  <c r="H10" i="1"/>
  <c r="I10" i="1"/>
  <c r="J10" i="1"/>
  <c r="K10" i="1"/>
  <c r="E11" i="1"/>
  <c r="F11" i="1"/>
  <c r="G11" i="1"/>
  <c r="H11" i="1"/>
  <c r="I11" i="1"/>
  <c r="J11" i="1"/>
  <c r="K11" i="1"/>
  <c r="E12" i="1"/>
  <c r="F12" i="1"/>
  <c r="G12" i="1"/>
  <c r="H12" i="1"/>
  <c r="I12" i="1"/>
  <c r="J12" i="1"/>
  <c r="K12" i="1"/>
  <c r="E13" i="1"/>
  <c r="F13" i="1"/>
  <c r="G13" i="1"/>
  <c r="H13" i="1"/>
  <c r="I13" i="1"/>
  <c r="J13" i="1"/>
  <c r="K13" i="1"/>
  <c r="E14" i="1"/>
  <c r="F14" i="1"/>
  <c r="G14" i="1"/>
  <c r="H14" i="1"/>
  <c r="I14" i="1"/>
  <c r="J14" i="1"/>
  <c r="K14" i="1"/>
  <c r="E15" i="1"/>
  <c r="F15" i="1"/>
  <c r="G15" i="1"/>
  <c r="H15" i="1"/>
  <c r="I15" i="1"/>
  <c r="J15" i="1"/>
  <c r="K15" i="1"/>
  <c r="E16" i="1"/>
  <c r="F16" i="1"/>
  <c r="G16" i="1"/>
  <c r="H16" i="1"/>
  <c r="I16" i="1"/>
  <c r="J16" i="1"/>
  <c r="K16" i="1"/>
  <c r="E17" i="1"/>
  <c r="F17" i="1"/>
  <c r="G17" i="1"/>
  <c r="H17" i="1"/>
  <c r="I17" i="1"/>
  <c r="J17" i="1"/>
  <c r="K17" i="1"/>
  <c r="E18" i="1"/>
  <c r="F18" i="1"/>
  <c r="G18" i="1"/>
  <c r="H18" i="1"/>
  <c r="I18" i="1"/>
  <c r="J18" i="1"/>
  <c r="K18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E23" i="1"/>
  <c r="F23" i="1"/>
  <c r="G23" i="1"/>
  <c r="H23" i="1"/>
  <c r="I23" i="1"/>
  <c r="J23" i="1"/>
  <c r="K23" i="1"/>
  <c r="E24" i="1"/>
  <c r="F24" i="1"/>
  <c r="G24" i="1"/>
  <c r="H24" i="1"/>
  <c r="I24" i="1"/>
  <c r="J24" i="1"/>
  <c r="K24" i="1"/>
  <c r="E25" i="1"/>
  <c r="F25" i="1"/>
  <c r="G25" i="1"/>
  <c r="H25" i="1"/>
  <c r="I25" i="1"/>
  <c r="J25" i="1"/>
  <c r="K25" i="1"/>
  <c r="E26" i="1"/>
  <c r="F26" i="1"/>
  <c r="G26" i="1"/>
  <c r="H26" i="1"/>
  <c r="I26" i="1"/>
  <c r="J26" i="1"/>
  <c r="K26" i="1"/>
  <c r="E27" i="1"/>
  <c r="F27" i="1"/>
  <c r="G27" i="1"/>
  <c r="H27" i="1"/>
  <c r="I27" i="1"/>
  <c r="J27" i="1"/>
  <c r="K27" i="1"/>
  <c r="E28" i="1"/>
  <c r="F28" i="1"/>
  <c r="G28" i="1"/>
  <c r="H28" i="1"/>
  <c r="I28" i="1"/>
  <c r="J28" i="1"/>
  <c r="K28" i="1"/>
  <c r="E29" i="1"/>
  <c r="F29" i="1"/>
  <c r="G29" i="1"/>
  <c r="H29" i="1"/>
  <c r="I29" i="1"/>
  <c r="J29" i="1"/>
  <c r="K29" i="1"/>
  <c r="E30" i="1"/>
  <c r="F30" i="1"/>
  <c r="G30" i="1"/>
  <c r="H30" i="1"/>
  <c r="I30" i="1"/>
  <c r="J30" i="1"/>
  <c r="K30" i="1"/>
  <c r="E31" i="1"/>
  <c r="F31" i="1"/>
  <c r="G31" i="1"/>
  <c r="H31" i="1"/>
  <c r="I31" i="1"/>
  <c r="J31" i="1"/>
  <c r="K31" i="1"/>
  <c r="E32" i="1"/>
  <c r="F32" i="1"/>
  <c r="G32" i="1"/>
  <c r="H32" i="1"/>
  <c r="I32" i="1"/>
  <c r="J32" i="1"/>
  <c r="K32" i="1"/>
  <c r="E33" i="1"/>
  <c r="F33" i="1"/>
  <c r="G33" i="1"/>
  <c r="H33" i="1"/>
  <c r="I33" i="1"/>
  <c r="J33" i="1"/>
  <c r="K33" i="1"/>
  <c r="E34" i="1"/>
  <c r="F34" i="1"/>
  <c r="G34" i="1"/>
  <c r="H34" i="1"/>
  <c r="I34" i="1"/>
  <c r="J34" i="1"/>
  <c r="K34" i="1"/>
  <c r="E35" i="1"/>
  <c r="F35" i="1"/>
  <c r="G35" i="1"/>
  <c r="H35" i="1"/>
  <c r="I35" i="1"/>
  <c r="J35" i="1"/>
  <c r="K35" i="1"/>
  <c r="E36" i="1"/>
  <c r="F36" i="1"/>
  <c r="G36" i="1"/>
  <c r="H36" i="1"/>
  <c r="I36" i="1"/>
  <c r="J36" i="1"/>
  <c r="K36" i="1"/>
  <c r="E37" i="1"/>
  <c r="F37" i="1"/>
  <c r="G37" i="1"/>
  <c r="H37" i="1"/>
  <c r="I37" i="1"/>
  <c r="J37" i="1"/>
  <c r="K37" i="1"/>
  <c r="K3" i="1"/>
  <c r="J3" i="1"/>
  <c r="I3" i="1"/>
  <c r="H3" i="1"/>
  <c r="G3" i="1"/>
  <c r="F3" i="1"/>
  <c r="E3" i="1"/>
</calcChain>
</file>

<file path=xl/sharedStrings.xml><?xml version="1.0" encoding="utf-8"?>
<sst xmlns="http://schemas.openxmlformats.org/spreadsheetml/2006/main" count="155" uniqueCount="77">
  <si>
    <t>Startzeitpunkt</t>
  </si>
  <si>
    <t>Tag</t>
  </si>
  <si>
    <t>Zeilenbeschriftungen</t>
  </si>
  <si>
    <t>Gesamtergebnis</t>
  </si>
  <si>
    <t>Spaltenbeschriftungen</t>
  </si>
  <si>
    <t>Dauer (hh:mm:ss)</t>
  </si>
  <si>
    <t>Dauer (Zahl)</t>
  </si>
  <si>
    <t>Summe von Dauer (Zahl)</t>
  </si>
  <si>
    <t>Pause</t>
  </si>
  <si>
    <t>Monat</t>
  </si>
  <si>
    <t>KW</t>
  </si>
  <si>
    <t>Thema (kurz)</t>
  </si>
  <si>
    <t>Thema (PSP)</t>
  </si>
  <si>
    <t>Wildcard</t>
  </si>
  <si>
    <t>Uhrzeit</t>
  </si>
  <si>
    <t>Kommen
(Min Uhrzeit)</t>
  </si>
  <si>
    <t>Gehen
(Max Uhrzeit)</t>
  </si>
  <si>
    <t>Kommentar</t>
  </si>
  <si>
    <t>Zeitstempelfile:</t>
  </si>
  <si>
    <t>Summe von Dauer (hh:mm:ss)</t>
  </si>
  <si>
    <t>WoTag</t>
  </si>
  <si>
    <t>(Mehrere Elemente)</t>
  </si>
  <si>
    <t>(Leer)</t>
  </si>
  <si>
    <r>
      <t xml:space="preserve">Idee und Umsetzung von </t>
    </r>
    <r>
      <rPr>
        <b/>
        <sz val="10"/>
        <rFont val="Arial"/>
        <family val="2"/>
      </rPr>
      <t>Andreas Hofer</t>
    </r>
    <r>
      <rPr>
        <sz val="10"/>
        <rFont val="Arial"/>
        <family val="2"/>
      </rPr>
      <t/>
    </r>
  </si>
  <si>
    <t>Erstellt von:</t>
  </si>
  <si>
    <t>Andreas Hofer</t>
  </si>
  <si>
    <t>E-Mail: hofer.andreas@siemens.com</t>
  </si>
  <si>
    <t>D:\_pdata\GLAZ\GLAZsources\GlazTimestamp\GlazTimestamp.csv</t>
  </si>
  <si>
    <t>Aufgabe 1</t>
  </si>
  <si>
    <t>PSPno 1</t>
  </si>
  <si>
    <t>Aufgabe 2</t>
  </si>
  <si>
    <t>PSPno 2</t>
  </si>
  <si>
    <t>Aufgabe 5</t>
  </si>
  <si>
    <t>PSPno 5</t>
  </si>
  <si>
    <t>Logout</t>
  </si>
  <si>
    <t>Aufgabe 3</t>
  </si>
  <si>
    <t>PSPno 3</t>
  </si>
  <si>
    <t>Aufgabe 6</t>
  </si>
  <si>
    <t>PSPno 6</t>
  </si>
  <si>
    <t>Aufgabe 4</t>
  </si>
  <si>
    <t>PSPno 4</t>
  </si>
  <si>
    <t>KW 01 Ergebnis</t>
  </si>
  <si>
    <t>Jan</t>
  </si>
  <si>
    <t>04.01.2017 07:52</t>
  </si>
  <si>
    <t>04.01.2017 10:20</t>
  </si>
  <si>
    <t>04.01.2017 11:02</t>
  </si>
  <si>
    <t>04.01.2017 11:28</t>
  </si>
  <si>
    <t>04.01.2017 12:08</t>
  </si>
  <si>
    <t>04.01.2017 12:30</t>
  </si>
  <si>
    <t>04.01.2017 18:26</t>
  </si>
  <si>
    <t>05.01.2017 08:11</t>
  </si>
  <si>
    <t>05.01.2017 09:10</t>
  </si>
  <si>
    <t>05.01.2017 11:30</t>
  </si>
  <si>
    <t>05.01.2017 12:15</t>
  </si>
  <si>
    <t>05.01.2017 17:52</t>
  </si>
  <si>
    <t>09.01.2017 08:07</t>
  </si>
  <si>
    <t>09.01.2017 08:22</t>
  </si>
  <si>
    <t>09.01.2017 08:33</t>
  </si>
  <si>
    <t>09.01.2017 12:07</t>
  </si>
  <si>
    <t>09.01.2017 13:04</t>
  </si>
  <si>
    <t>09.01.2017 15:14</t>
  </si>
  <si>
    <t>09.01.2017 16:42</t>
  </si>
  <si>
    <t>10.01.2017 07:46</t>
  </si>
  <si>
    <t>10.01.2017 07:54</t>
  </si>
  <si>
    <t>10.01.2017 08:04</t>
  </si>
  <si>
    <t>10.01.2017 08:45</t>
  </si>
  <si>
    <t>10.01.2017 08:55</t>
  </si>
  <si>
    <t>10.01.2017 08:56</t>
  </si>
  <si>
    <t>10.01.2017 10:14</t>
  </si>
  <si>
    <t>10.01.2017 11:32</t>
  </si>
  <si>
    <t>10.01.2017 12:52</t>
  </si>
  <si>
    <t>10.01.2017 13:02</t>
  </si>
  <si>
    <t>10.01.2017 13:18</t>
  </si>
  <si>
    <t>10.01.2017 14:55</t>
  </si>
  <si>
    <t>10.01.2017 16:27</t>
  </si>
  <si>
    <t>KW 02 Ergebnis</t>
  </si>
  <si>
    <r>
      <t>GlazTimestamp V1.0  12/2016</t>
    </r>
    <r>
      <rPr>
        <sz val="10"/>
        <rFont val="Arial"/>
        <family val="2"/>
      </rPr>
      <t xml:space="preserve">   </t>
    </r>
    <r>
      <rPr>
        <i/>
        <sz val="10"/>
        <rFont val="Arial"/>
        <family val="2"/>
      </rPr>
      <t>Excel-Sheet zum auswerten des Zeitstempelfiles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</si>
</sst>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d/m/yy\ h:mm;@"/>
    <numFmt numFmtId="165" formatCode="[$-F400]h:mm:ss\ AM/PM"/>
    <numFmt numFmtId="166" formatCode="dd/mm/yy;@"/>
    <numFmt numFmtId="167" formatCode="mmm"/>
    <numFmt numFmtId="168" formatCode="00"/>
    <numFmt numFmtId="169" formatCode="dd/mm/yy\ \ ddd;@"/>
    <numFmt numFmtId="170" formatCode="hh:mm;@"/>
    <numFmt numFmtId="171" formatCode="&quot;KW&quot;\ 00"/>
    <numFmt numFmtId="172" formatCode="ddd\ dd/mm/yy;@"/>
    <numFmt numFmtId="173" formatCode="dd/mm/yyyy\ hh:mm:ss"/>
  </numFmts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6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pivotButton="1"/>
    <xf numFmtId="2" fontId="0" fillId="0" borderId="0" xfId="0" applyNumberFormat="1"/>
    <xf numFmtId="166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/>
    <xf numFmtId="20" fontId="0" fillId="0" borderId="0" xfId="0" applyNumberFormat="1"/>
    <xf numFmtId="0" fontId="0" fillId="0" borderId="0" xfId="0" applyAlignment="1">
      <alignment wrapText="1"/>
    </xf>
    <xf numFmtId="169" fontId="0" fillId="0" borderId="0" xfId="0" pivotButton="1" applyNumberFormat="1"/>
    <xf numFmtId="169" fontId="0" fillId="0" borderId="0" xfId="0" applyNumberFormat="1"/>
    <xf numFmtId="0" fontId="0" fillId="0" borderId="0" xfId="0" applyAlignment="1">
      <alignment horizontal="left"/>
    </xf>
    <xf numFmtId="170" fontId="0" fillId="0" borderId="0" xfId="0" applyNumberFormat="1"/>
    <xf numFmtId="171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/>
    </xf>
    <xf numFmtId="172" fontId="0" fillId="0" borderId="0" xfId="0" applyNumberFormat="1" applyAlignment="1"/>
    <xf numFmtId="0" fontId="0" fillId="0" borderId="0" xfId="0" applyNumberFormat="1" applyAlignment="1">
      <alignment horizontal="left"/>
    </xf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71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0" fontId="3" fillId="0" borderId="0" xfId="0" applyFont="1" applyAlignment="1" applyProtection="1">
      <alignment horizontal="left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5" fillId="3" borderId="1" xfId="0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3" fillId="4" borderId="3" xfId="0" applyFont="1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3" fillId="4" borderId="5" xfId="0" applyFont="1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0" xfId="0" applyFill="1"/>
    <xf numFmtId="0" fontId="0" fillId="0" borderId="0" xfId="0" applyNumberFormat="1" applyAlignment="1">
      <alignment horizontal="right"/>
    </xf>
    <xf numFmtId="173" fontId="0" fillId="5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168" fontId="0" fillId="0" borderId="0" xfId="0" applyNumberFormat="1"/>
    <xf numFmtId="1" fontId="0" fillId="0" borderId="0" xfId="0" applyNumberFormat="1"/>
    <xf numFmtId="165" fontId="0" fillId="0" borderId="0" xfId="0" applyNumberFormat="1"/>
  </cellXfs>
  <cellStyles count="1">
    <cellStyle name="Standard" xfId="0" builtinId="0"/>
  </cellStyles>
  <dxfs count="12">
    <dxf>
      <fill>
        <patternFill patternType="solid">
          <bgColor theme="0" tint="-0.14999847407452621"/>
        </patternFill>
      </fill>
    </dxf>
    <dxf>
      <alignment textRotation="0" readingOrder="0"/>
    </dxf>
    <dxf>
      <font>
        <color rgb="FF9C0006"/>
      </font>
      <fill>
        <patternFill>
          <bgColor rgb="FFFFC7CE"/>
        </patternFill>
      </fill>
    </dxf>
    <dxf>
      <alignment textRotation="0" readingOrder="0"/>
    </dxf>
    <dxf>
      <font>
        <color rgb="FF9C0006"/>
      </font>
      <fill>
        <patternFill>
          <bgColor rgb="FFFFC7CE"/>
        </patternFill>
      </fill>
    </dxf>
    <dxf>
      <numFmt numFmtId="169" formatCode="dd/mm/yy\ \ ddd;@"/>
    </dxf>
    <dxf>
      <numFmt numFmtId="19" formatCode="dd/mm/yyyy"/>
    </dxf>
    <dxf>
      <alignment wrapText="1" readingOrder="0"/>
    </dxf>
    <dxf>
      <numFmt numFmtId="25" formatCode="hh:mm"/>
    </dxf>
    <dxf>
      <numFmt numFmtId="25" formatCode="hh:mm"/>
    </dxf>
    <dxf>
      <alignment textRotation="0" readingOrder="0"/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66675</xdr:rowOff>
        </xdr:from>
        <xdr:to>
          <xdr:col>1</xdr:col>
          <xdr:colOff>990600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66675</xdr:rowOff>
        </xdr:from>
        <xdr:to>
          <xdr:col>2</xdr:col>
          <xdr:colOff>1285875</xdr:colOff>
          <xdr:row>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57150</xdr:rowOff>
    </xdr:from>
    <xdr:to>
      <xdr:col>0</xdr:col>
      <xdr:colOff>914400</xdr:colOff>
      <xdr:row>0</xdr:row>
      <xdr:rowOff>323850</xdr:rowOff>
    </xdr:to>
    <xdr:sp macro="" textlink="">
      <xdr:nvSpPr>
        <xdr:cNvPr id="2" name="Pfeil nach rechts 1"/>
        <xdr:cNvSpPr/>
      </xdr:nvSpPr>
      <xdr:spPr>
        <a:xfrm>
          <a:off x="400050" y="57150"/>
          <a:ext cx="514350" cy="26670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fer, Andreas" refreshedDate="42720.931209259259" missingItemsLimit="0" createdVersion="4" refreshedVersion="4" minRefreshableVersion="3" recordCount="35">
  <cacheSource type="worksheet">
    <worksheetSource name="Daten"/>
  </cacheSource>
  <cacheFields count="11">
    <cacheField name="Thema (kurz)" numFmtId="0">
      <sharedItems count="9">
        <s v="Aufgabe 1"/>
        <s v="Aufgabe 2"/>
        <s v="Aufgabe 5"/>
        <s v="Pause"/>
        <s v="Logout"/>
        <s v="Wildcard"/>
        <s v="Aufgabe 3"/>
        <s v="Aufgabe 6"/>
        <s v="Aufgabe 4"/>
      </sharedItems>
    </cacheField>
    <cacheField name="Thema (PSP)" numFmtId="0">
      <sharedItems containsBlank="1" count="7">
        <s v="PSPno 1"/>
        <s v="PSPno 2"/>
        <s v="PSPno 5"/>
        <m/>
        <s v="PSPno 3"/>
        <s v="PSPno 6"/>
        <s v="PSPno 4"/>
      </sharedItems>
    </cacheField>
    <cacheField name="Startzeitpunkt" numFmtId="0">
      <sharedItems containsDate="1" containsMixedTypes="1" minDate="2017-01-06T00:00:00" maxDate="2017-01-09T00:00:00"/>
    </cacheField>
    <cacheField name="Kommentar" numFmtId="0">
      <sharedItems containsNonDate="0" containsString="0" containsBlank="1"/>
    </cacheField>
    <cacheField name="Monat" numFmtId="167">
      <sharedItems count="1">
        <s v="Jan"/>
      </sharedItems>
    </cacheField>
    <cacheField name="KW" numFmtId="168">
      <sharedItems containsSemiMixedTypes="0" containsString="0" containsNumber="1" containsInteger="1" minValue="1" maxValue="2" count="2">
        <n v="1"/>
        <n v="2"/>
      </sharedItems>
    </cacheField>
    <cacheField name="WoTag" numFmtId="1">
      <sharedItems containsSemiMixedTypes="0" containsString="0" containsNumber="1" containsInteger="1" minValue="1" maxValue="7" count="7">
        <n v="3"/>
        <n v="4"/>
        <n v="5"/>
        <n v="6"/>
        <n v="7"/>
        <n v="1"/>
        <n v="2"/>
      </sharedItems>
    </cacheField>
    <cacheField name="Tag" numFmtId="166">
      <sharedItems containsSemiMixedTypes="0" containsNonDate="0" containsDate="1" containsString="0" minDate="2017-01-04T00:00:00" maxDate="2017-01-11T00:00:00" count="7">
        <d v="2017-01-04T00:00:00"/>
        <d v="2017-01-05T00:00:00"/>
        <d v="2017-01-06T00:00:00"/>
        <d v="2017-01-07T00:00:00"/>
        <d v="2017-01-08T00:00:00"/>
        <d v="2017-01-09T00:00:00"/>
        <d v="2017-01-10T00:00:00"/>
      </sharedItems>
    </cacheField>
    <cacheField name="Uhrzeit" numFmtId="170">
      <sharedItems containsSemiMixedTypes="0" containsNonDate="0" containsDate="1" containsString="0" minDate="1899-12-30T00:00:00" maxDate="1899-12-30T18:26:00"/>
    </cacheField>
    <cacheField name="Dauer (Zahl)" numFmtId="2">
      <sharedItems containsMixedTypes="1" containsNumber="1" minValue="1.6666666546370834E-2" maxValue="5.9333333332906477"/>
    </cacheField>
    <cacheField name="Dauer (hh:mm:ss)" numFmtId="165">
      <sharedItems containsDate="1" containsMixedTypes="1" minDate="1899-12-30T00:01:00" maxDate="1899-12-30T05:56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s v="04.01.2017 07:52"/>
    <m/>
    <x v="0"/>
    <x v="0"/>
    <x v="0"/>
    <x v="0"/>
    <d v="1899-12-30T07:52:00"/>
    <n v="2.4666666666744277"/>
    <d v="1899-12-30T02:28:00"/>
  </r>
  <r>
    <x v="1"/>
    <x v="1"/>
    <s v="04.01.2017 10:20"/>
    <m/>
    <x v="0"/>
    <x v="0"/>
    <x v="0"/>
    <x v="0"/>
    <d v="1899-12-30T10:20:00"/>
    <n v="0.70000000001164153"/>
    <d v="1899-12-30T00:42:00"/>
  </r>
  <r>
    <x v="2"/>
    <x v="2"/>
    <s v="04.01.2017 11:02"/>
    <m/>
    <x v="0"/>
    <x v="0"/>
    <x v="0"/>
    <x v="0"/>
    <d v="1899-12-30T11:02:00"/>
    <n v="0.43333333334885538"/>
    <d v="1899-12-30T00:26:00"/>
  </r>
  <r>
    <x v="3"/>
    <x v="3"/>
    <s v="04.01.2017 11:28"/>
    <m/>
    <x v="0"/>
    <x v="0"/>
    <x v="0"/>
    <x v="0"/>
    <d v="1899-12-30T11:28:00"/>
    <n v="0.66666666674427688"/>
    <d v="1899-12-30T00:40:00"/>
  </r>
  <r>
    <x v="2"/>
    <x v="2"/>
    <s v="04.01.2017 12:08"/>
    <m/>
    <x v="0"/>
    <x v="0"/>
    <x v="0"/>
    <x v="0"/>
    <d v="1899-12-30T12:08:00"/>
    <n v="0.36666666663950309"/>
    <d v="1899-12-30T00:22:00"/>
  </r>
  <r>
    <x v="1"/>
    <x v="1"/>
    <s v="04.01.2017 12:30"/>
    <m/>
    <x v="0"/>
    <x v="0"/>
    <x v="0"/>
    <x v="0"/>
    <d v="1899-12-30T12:30:00"/>
    <n v="5.9333333332906477"/>
    <d v="1899-12-30T05:56:00"/>
  </r>
  <r>
    <x v="4"/>
    <x v="3"/>
    <s v="04.01.2017 18:26"/>
    <m/>
    <x v="0"/>
    <x v="0"/>
    <x v="0"/>
    <x v="0"/>
    <d v="1899-12-30T18:26:00"/>
    <s v=""/>
    <s v=""/>
  </r>
  <r>
    <x v="0"/>
    <x v="0"/>
    <s v="05.01.2017 08:11"/>
    <m/>
    <x v="0"/>
    <x v="0"/>
    <x v="1"/>
    <x v="1"/>
    <d v="1899-12-30T08:11:00"/>
    <n v="0.9833333333954215"/>
    <d v="1899-12-30T00:59:00"/>
  </r>
  <r>
    <x v="1"/>
    <x v="1"/>
    <s v="05.01.2017 09:10"/>
    <m/>
    <x v="0"/>
    <x v="0"/>
    <x v="1"/>
    <x v="1"/>
    <d v="1899-12-30T09:10:00"/>
    <n v="2.3333333332557231"/>
    <d v="1899-12-30T02:20:00"/>
  </r>
  <r>
    <x v="3"/>
    <x v="3"/>
    <s v="05.01.2017 11:30"/>
    <m/>
    <x v="0"/>
    <x v="0"/>
    <x v="1"/>
    <x v="1"/>
    <d v="1899-12-30T11:30:00"/>
    <n v="0.75"/>
    <d v="1899-12-30T00:45:00"/>
  </r>
  <r>
    <x v="1"/>
    <x v="1"/>
    <s v="05.01.2017 12:15"/>
    <m/>
    <x v="0"/>
    <x v="0"/>
    <x v="1"/>
    <x v="1"/>
    <d v="1899-12-30T12:15:00"/>
    <n v="5.6166666666395031"/>
    <d v="1899-12-30T05:37:00"/>
  </r>
  <r>
    <x v="4"/>
    <x v="3"/>
    <s v="05.01.2017 17:52"/>
    <m/>
    <x v="0"/>
    <x v="0"/>
    <x v="1"/>
    <x v="1"/>
    <d v="1899-12-30T17:52:00"/>
    <s v=""/>
    <s v=""/>
  </r>
  <r>
    <x v="5"/>
    <x v="3"/>
    <d v="2017-01-06T00:00:00"/>
    <m/>
    <x v="0"/>
    <x v="0"/>
    <x v="2"/>
    <x v="2"/>
    <d v="1899-12-30T00:00:00"/>
    <s v=""/>
    <s v=""/>
  </r>
  <r>
    <x v="5"/>
    <x v="3"/>
    <d v="2017-01-07T00:00:00"/>
    <m/>
    <x v="0"/>
    <x v="0"/>
    <x v="3"/>
    <x v="3"/>
    <d v="1899-12-30T00:00:00"/>
    <s v=""/>
    <s v=""/>
  </r>
  <r>
    <x v="5"/>
    <x v="3"/>
    <d v="2017-01-08T00:00:00"/>
    <m/>
    <x v="0"/>
    <x v="0"/>
    <x v="4"/>
    <x v="4"/>
    <d v="1899-12-30T00:00:00"/>
    <s v=""/>
    <s v=""/>
  </r>
  <r>
    <x v="1"/>
    <x v="1"/>
    <s v="09.01.2017 08:07"/>
    <m/>
    <x v="0"/>
    <x v="1"/>
    <x v="5"/>
    <x v="5"/>
    <d v="1899-12-30T08:07:00"/>
    <n v="0.25000000011641532"/>
    <d v="1899-12-30T00:15:00"/>
  </r>
  <r>
    <x v="2"/>
    <x v="2"/>
    <s v="09.01.2017 08:22"/>
    <m/>
    <x v="0"/>
    <x v="1"/>
    <x v="5"/>
    <x v="5"/>
    <d v="1899-12-30T08:22:00"/>
    <n v="0.18333333323244005"/>
    <d v="1899-12-30T00:11:00"/>
  </r>
  <r>
    <x v="6"/>
    <x v="4"/>
    <s v="09.01.2017 08:33"/>
    <m/>
    <x v="0"/>
    <x v="1"/>
    <x v="5"/>
    <x v="5"/>
    <d v="1899-12-30T08:33:00"/>
    <n v="3.5666666667675599"/>
    <d v="1899-12-30T03:34:00"/>
  </r>
  <r>
    <x v="3"/>
    <x v="3"/>
    <s v="09.01.2017 12:07"/>
    <m/>
    <x v="0"/>
    <x v="1"/>
    <x v="5"/>
    <x v="5"/>
    <d v="1899-12-30T12:07:00"/>
    <n v="0.94999999995343387"/>
    <d v="1899-12-30T00:57:00"/>
  </r>
  <r>
    <x v="7"/>
    <x v="5"/>
    <s v="09.01.2017 13:04"/>
    <m/>
    <x v="0"/>
    <x v="1"/>
    <x v="5"/>
    <x v="5"/>
    <d v="1899-12-30T13:04:00"/>
    <n v="2.1666666667442769"/>
    <d v="1899-12-30T02:10:00"/>
  </r>
  <r>
    <x v="6"/>
    <x v="4"/>
    <s v="09.01.2017 15:14"/>
    <m/>
    <x v="0"/>
    <x v="1"/>
    <x v="5"/>
    <x v="5"/>
    <d v="1899-12-30T15:14:00"/>
    <n v="1.4666666665580124"/>
    <d v="1899-12-30T01:28:00"/>
  </r>
  <r>
    <x v="4"/>
    <x v="3"/>
    <s v="09.01.2017 16:42"/>
    <m/>
    <x v="0"/>
    <x v="1"/>
    <x v="5"/>
    <x v="5"/>
    <d v="1899-12-30T16:42:00"/>
    <s v=""/>
    <s v=""/>
  </r>
  <r>
    <x v="0"/>
    <x v="0"/>
    <s v="10.01.2017 07:46"/>
    <m/>
    <x v="0"/>
    <x v="1"/>
    <x v="6"/>
    <x v="6"/>
    <d v="1899-12-30T07:46:00"/>
    <n v="0.13333333341870457"/>
    <d v="1899-12-30T00:08:00"/>
  </r>
  <r>
    <x v="8"/>
    <x v="6"/>
    <s v="10.01.2017 07:54"/>
    <m/>
    <x v="0"/>
    <x v="1"/>
    <x v="6"/>
    <x v="6"/>
    <d v="1899-12-30T07:54:00"/>
    <n v="0.16666666651144624"/>
    <d v="1899-12-30T00:10:00"/>
  </r>
  <r>
    <x v="0"/>
    <x v="0"/>
    <s v="10.01.2017 08:04"/>
    <m/>
    <x v="0"/>
    <x v="1"/>
    <x v="6"/>
    <x v="6"/>
    <d v="1899-12-30T08:04:00"/>
    <n v="0.6833333334652707"/>
    <d v="1899-12-30T00:41:00"/>
  </r>
  <r>
    <x v="8"/>
    <x v="6"/>
    <s v="10.01.2017 08:45"/>
    <m/>
    <x v="0"/>
    <x v="1"/>
    <x v="6"/>
    <x v="6"/>
    <d v="1899-12-30T08:45:00"/>
    <n v="0.16666666668606922"/>
    <d v="1899-12-30T00:10:00"/>
  </r>
  <r>
    <x v="0"/>
    <x v="0"/>
    <s v="10.01.2017 08:55"/>
    <m/>
    <x v="0"/>
    <x v="1"/>
    <x v="6"/>
    <x v="6"/>
    <d v="1899-12-30T08:55:00"/>
    <n v="1.6666666546370834E-2"/>
    <d v="1899-12-30T00:01:00"/>
  </r>
  <r>
    <x v="2"/>
    <x v="2"/>
    <s v="10.01.2017 08:56"/>
    <m/>
    <x v="0"/>
    <x v="1"/>
    <x v="6"/>
    <x v="6"/>
    <d v="1899-12-30T08:56:00"/>
    <n v="1.3000000000465661"/>
    <d v="1899-12-30T01:18:00"/>
  </r>
  <r>
    <x v="1"/>
    <x v="1"/>
    <s v="10.01.2017 10:14"/>
    <m/>
    <x v="0"/>
    <x v="1"/>
    <x v="6"/>
    <x v="6"/>
    <d v="1899-12-30T10:14:00"/>
    <n v="1.3000000000465661"/>
    <d v="1899-12-30T01:18:00"/>
  </r>
  <r>
    <x v="3"/>
    <x v="3"/>
    <s v="10.01.2017 11:32"/>
    <m/>
    <x v="0"/>
    <x v="1"/>
    <x v="6"/>
    <x v="6"/>
    <d v="1899-12-30T11:32:00"/>
    <n v="1.3333333333139308"/>
    <d v="1899-12-30T01:20:00"/>
  </r>
  <r>
    <x v="6"/>
    <x v="4"/>
    <s v="10.01.2017 12:52"/>
    <m/>
    <x v="0"/>
    <x v="1"/>
    <x v="6"/>
    <x v="6"/>
    <d v="1899-12-30T12:52:00"/>
    <n v="0.16666666668606922"/>
    <d v="1899-12-30T00:10:00"/>
  </r>
  <r>
    <x v="2"/>
    <x v="2"/>
    <s v="10.01.2017 13:02"/>
    <m/>
    <x v="0"/>
    <x v="1"/>
    <x v="6"/>
    <x v="6"/>
    <d v="1899-12-30T13:02:00"/>
    <n v="0.26666666666278616"/>
    <d v="1899-12-30T00:16:00"/>
  </r>
  <r>
    <x v="6"/>
    <x v="4"/>
    <s v="10.01.2017 13:18"/>
    <m/>
    <x v="0"/>
    <x v="1"/>
    <x v="6"/>
    <x v="6"/>
    <d v="1899-12-30T13:18:00"/>
    <n v="1.6166666666977108"/>
    <d v="1899-12-30T01:37:00"/>
  </r>
  <r>
    <x v="1"/>
    <x v="1"/>
    <s v="10.01.2017 14:55"/>
    <m/>
    <x v="0"/>
    <x v="1"/>
    <x v="6"/>
    <x v="6"/>
    <d v="1899-12-30T14:55:00"/>
    <n v="1.5333333332673647"/>
    <d v="1899-12-30T01:32:00"/>
  </r>
  <r>
    <x v="4"/>
    <x v="3"/>
    <s v="10.01.2017 16:27"/>
    <m/>
    <x v="0"/>
    <x v="1"/>
    <x v="6"/>
    <x v="6"/>
    <d v="1899-12-30T16:27:0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Werte" updatedVersion="4" minRefreshableVersion="3" rowGrandTotals="0" colGrandTotals="0" itemPrintTitles="1" createdVersion="4" indent="0" compact="0" compactData="0" gridDropZones="1" multipleFieldFilters="0">
  <location ref="E2:F10" firstHeaderRow="1" firstDataRow="2" firstDataCol="1"/>
  <pivotFields count="11">
    <pivotField axis="axisCol" compact="0" outline="0" showAll="0">
      <items count="10">
        <item h="1" x="4"/>
        <item x="3"/>
        <item h="1" x="5"/>
        <item h="1" x="0"/>
        <item h="1" x="1"/>
        <item h="1" x="2"/>
        <item h="1" x="6"/>
        <item h="1" x="7"/>
        <item h="1" x="8"/>
        <item t="default"/>
      </items>
    </pivotField>
    <pivotField compact="0" outline="0" showAll="0"/>
    <pivotField compact="0" outline="0" showAll="0"/>
    <pivotField compact="0" outline="0" showAll="0"/>
    <pivotField compact="0" numFmtId="167" outline="0" showAll="0"/>
    <pivotField compact="0" numFmtId="168" outline="0" showAll="0"/>
    <pivotField compact="0" numFmtId="1" outline="0" showAll="0" defaultSubtotal="0"/>
    <pivotField axis="axisRow" compact="0" numFmtId="166" outline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numFmtId="170" outline="0" showAll="0"/>
    <pivotField compact="0" outline="0" showAll="0"/>
    <pivotField dataField="1" compact="0" outline="0" showAl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0"/>
  </colFields>
  <colItems count="1">
    <i>
      <x v="1"/>
    </i>
  </colItems>
  <dataFields count="1">
    <dataField name="Summe von Dauer (hh:mm:ss)" fld="10" baseField="6" baseItem="0" numFmtId="17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useAutoFormatting="1" rowGrandTotals="0" itemPrintTitles="1" createdVersion="4" indent="0" outline="1" outlineData="1" multipleFieldFilters="0" rowHeaderCaption="Tag">
  <location ref="A3:C10" firstHeaderRow="0" firstDataRow="1" firstDataCol="1"/>
  <pivotFields count="11">
    <pivotField showAll="0" defaultSubtotal="0"/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69" sortType="ascending" defaultSubtotal="0">
      <items count="7">
        <item x="0"/>
        <item x="1"/>
        <item x="2"/>
        <item x="3"/>
        <item x="4"/>
        <item x="5"/>
        <item x="6"/>
      </items>
    </pivotField>
    <pivotField dataField="1" showAll="0" defaultSubtotal="0"/>
    <pivotField showAll="0" defaultSubtotal="0"/>
    <pivotField showAll="0" defaultSubtota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name="Kommen_x000a_(Min Uhrzeit)" fld="8" subtotal="min" baseField="5" baseItem="0" numFmtId="20"/>
    <dataField name="Gehen_x000a_(Max Uhrzeit)" fld="8" subtotal="max" baseField="5" baseItem="41" numFmtId="20"/>
  </dataFields>
  <formats count="6">
    <format dxfId="10">
      <pivotArea dataOnly="0" labelOnly="1" fieldPosition="0">
        <references count="1">
          <reference field="7" count="0"/>
        </references>
      </pivotArea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outline="0" fieldPosition="0">
        <references count="1">
          <reference field="4294967294" count="1">
            <x v="1"/>
          </reference>
        </references>
      </pivotArea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dataOnly="0" labelOnly="1" fieldPosition="0">
        <references count="1">
          <reference field="7" count="0"/>
        </references>
      </pivotArea>
    </format>
    <format dxfId="5">
      <pivotArea field="7" type="button" dataOnly="0" labelOnly="1" outline="0" axis="axisRow" fieldPosition="0"/>
    </format>
  </formats>
  <conditionalFormats count="1">
    <conditionalFormat priority="1">
      <pivotAreas count="1">
        <pivotArea outline="0" fieldPosition="0">
          <references count="1">
            <reference field="4294967294" count="2">
              <x v="0"/>
              <x v="1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itemPrintTitles="1" createdVersion="4" indent="0" outline="1" outlineData="1" multipleFieldFilters="0">
  <location ref="A3:I12" firstHeaderRow="1" firstDataRow="2" firstDataCol="1"/>
  <pivotFields count="11">
    <pivotField axis="axisCol" showAll="0" defaultSubtotal="0">
      <items count="9">
        <item h="1" x="4"/>
        <item h="1" x="3"/>
        <item x="5"/>
        <item x="0"/>
        <item x="1"/>
        <item x="2"/>
        <item x="6"/>
        <item x="7"/>
        <item x="8"/>
      </items>
    </pivotField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66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showAll="0" defaultSubtotal="0"/>
    <pivotField dataField="1" showAll="0" defaultSubtotal="0"/>
    <pivotField showAll="0" defaultSubtotal="0"/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me von Dauer (Zahl)" fld="9" baseField="2" baseItem="0" numFmtId="2"/>
  </dataFields>
  <formats count="1">
    <format dxfId="3">
      <pivotArea dataOnly="0" labelOnly="1" fieldPosition="0">
        <references count="1">
          <reference field="7" count="0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itemPrintTitles="1" createdVersion="4" indent="0" compact="0" compactData="0" gridDropZones="1" multipleFieldFilters="0">
  <location ref="A4:J14" firstHeaderRow="1" firstDataRow="3" firstDataCol="2" rowPageCount="2" colPageCount="1"/>
  <pivotFields count="11">
    <pivotField axis="axisRow" compact="0" outline="0" showAll="0" defaultSubtotal="0">
      <items count="9">
        <item h="1" x="4"/>
        <item h="1" x="3"/>
        <item x="5"/>
        <item x="0"/>
        <item x="1"/>
        <item x="2"/>
        <item x="6"/>
        <item x="7"/>
        <item x="8"/>
      </items>
    </pivotField>
    <pivotField axis="axisRow" compact="0" outline="0" showAll="0" defaultSubtotal="0">
      <items count="7">
        <item x="3"/>
        <item x="0"/>
        <item x="1"/>
        <item x="2"/>
        <item x="4"/>
        <item x="5"/>
        <item x="6"/>
      </items>
    </pivotField>
    <pivotField compact="0" numFmtId="164" outline="0" showAll="0"/>
    <pivotField compact="0" outline="0" showAll="0" defaultSubtotal="0"/>
    <pivotField axis="axisPage" compact="0" numFmtId="167" outline="0" multipleItemSelectionAllowed="1" showAll="0" defaultSubtotal="0">
      <items count="1">
        <item x="0"/>
      </items>
    </pivotField>
    <pivotField axis="axisCol" compact="0" numFmtId="171" outline="0" showAll="0">
      <items count="3">
        <item x="0"/>
        <item x="1"/>
        <item t="default"/>
      </items>
    </pivotField>
    <pivotField axis="axisPage" compact="0" numFmtId="1" outline="0" multipleItemSelectionAllowed="1" showAll="0" defaultSubtotal="0">
      <items count="7">
        <item x="5"/>
        <item x="6"/>
        <item x="0"/>
        <item x="1"/>
        <item x="2"/>
        <item h="1" x="3"/>
        <item h="1" x="4"/>
      </items>
    </pivotField>
    <pivotField axis="axisCol" compact="0" numFmtId="172" outline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 defaultSubtotal="0"/>
    <pivotField dataField="1" compact="0" outline="0" showAll="0" defaultSubtotal="0"/>
    <pivotField compact="0" outline="0" showAll="0" defaultSubtotal="0"/>
  </pivotFields>
  <rowFields count="2">
    <field x="1"/>
    <field x="0"/>
  </rowFields>
  <rowItems count="8">
    <i>
      <x/>
      <x v="2"/>
    </i>
    <i>
      <x v="1"/>
      <x v="3"/>
    </i>
    <i>
      <x v="2"/>
      <x v="4"/>
    </i>
    <i>
      <x v="3"/>
      <x v="5"/>
    </i>
    <i>
      <x v="4"/>
      <x v="6"/>
    </i>
    <i>
      <x v="5"/>
      <x v="7"/>
    </i>
    <i>
      <x v="6"/>
      <x v="8"/>
    </i>
    <i t="grand">
      <x/>
    </i>
  </rowItems>
  <colFields count="2">
    <field x="5"/>
    <field x="7"/>
  </colFields>
  <colItems count="8">
    <i>
      <x/>
      <x/>
    </i>
    <i r="1">
      <x v="1"/>
    </i>
    <i r="1">
      <x v="2"/>
    </i>
    <i t="default">
      <x/>
    </i>
    <i>
      <x v="1"/>
      <x v="5"/>
    </i>
    <i r="1">
      <x v="6"/>
    </i>
    <i t="default">
      <x v="1"/>
    </i>
    <i t="grand">
      <x/>
    </i>
  </colItems>
  <pageFields count="2">
    <pageField fld="4" hier="-1"/>
    <pageField fld="6" hier="-1"/>
  </pageFields>
  <dataFields count="1">
    <dataField name="Summe von Dauer (Zahl)" fld="9" baseField="2" baseItem="0" numFmtId="2"/>
  </dataFields>
  <formats count="2">
    <format dxfId="1">
      <pivotArea dataOnly="0" labelOnly="1" fieldPosition="0">
        <references count="1">
          <reference field="7" count="0"/>
        </references>
      </pivotArea>
    </format>
    <format dxfId="0">
      <pivotArea dataOnly="0" outline="0" fieldPosition="0">
        <references count="1">
          <reference field="5" count="0" defaultSubtotal="1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38"/>
  <sheetViews>
    <sheetView workbookViewId="0">
      <pane ySplit="2" topLeftCell="A12" activePane="bottomLeft" state="frozen"/>
      <selection pane="bottomLeft" activeCell="E37" sqref="E37"/>
    </sheetView>
  </sheetViews>
  <sheetFormatPr baseColWidth="10" defaultRowHeight="12.75" x14ac:dyDescent="0.2"/>
  <cols>
    <col min="1" max="1" width="15.140625" bestFit="1" customWidth="1"/>
    <col min="2" max="2" width="16.42578125" customWidth="1"/>
    <col min="3" max="3" width="20.140625" style="18" customWidth="1"/>
    <col min="4" max="4" width="39.5703125" customWidth="1"/>
    <col min="5" max="5" width="8.7109375" style="19" customWidth="1"/>
    <col min="6" max="9" width="8.7109375" customWidth="1"/>
    <col min="10" max="11" width="18.7109375" customWidth="1"/>
    <col min="14" max="14" width="18" bestFit="1" customWidth="1"/>
  </cols>
  <sheetData>
    <row r="1" spans="1:11" ht="30" customHeight="1" x14ac:dyDescent="0.2">
      <c r="C1" s="12"/>
    </row>
    <row r="2" spans="1:11" s="2" customFormat="1" x14ac:dyDescent="0.2">
      <c r="A2" s="6" t="s">
        <v>11</v>
      </c>
      <c r="B2" s="6" t="s">
        <v>12</v>
      </c>
      <c r="C2" s="2" t="s">
        <v>0</v>
      </c>
      <c r="D2" s="2" t="s">
        <v>17</v>
      </c>
      <c r="E2" s="20" t="s">
        <v>9</v>
      </c>
      <c r="F2" s="2" t="s">
        <v>10</v>
      </c>
      <c r="G2" s="2" t="s">
        <v>20</v>
      </c>
      <c r="H2" s="2" t="s">
        <v>1</v>
      </c>
      <c r="I2" s="2" t="s">
        <v>14</v>
      </c>
      <c r="J2" s="2" t="s">
        <v>6</v>
      </c>
      <c r="K2" s="2" t="s">
        <v>5</v>
      </c>
    </row>
    <row r="3" spans="1:11" x14ac:dyDescent="0.2">
      <c r="A3" t="s">
        <v>28</v>
      </c>
      <c r="B3" t="s">
        <v>29</v>
      </c>
      <c r="C3" s="34" t="s">
        <v>43</v>
      </c>
      <c r="E3" s="36" t="str">
        <f>TEXT(INT(C3),"MMM")</f>
        <v>Jan</v>
      </c>
      <c r="F3" s="37">
        <f>WEEKNUM(INT(C3),21)</f>
        <v>1</v>
      </c>
      <c r="G3" s="38">
        <f>WEEKDAY(C3,2)</f>
        <v>3</v>
      </c>
      <c r="H3" s="1">
        <f>INT(C3)</f>
        <v>42739</v>
      </c>
      <c r="I3" s="13">
        <f>C3-INT(C3)</f>
        <v>0.32777777777664596</v>
      </c>
      <c r="J3" s="4">
        <f>IF(OR(A3="Logout",A3="Wildcard"),"",(C4-C3)*24)</f>
        <v>2.4666666666744277</v>
      </c>
      <c r="K3" s="39">
        <f>IF(OR(A3="Logout",A3="Wildcard"),"",(C4-C3))</f>
        <v>0.10277777777810115</v>
      </c>
    </row>
    <row r="4" spans="1:11" x14ac:dyDescent="0.2">
      <c r="A4" t="s">
        <v>30</v>
      </c>
      <c r="B4" t="s">
        <v>31</v>
      </c>
      <c r="C4" s="34" t="s">
        <v>44</v>
      </c>
      <c r="E4" s="36" t="str">
        <f t="shared" ref="E4:E37" si="0">TEXT(INT(C4),"MMM")</f>
        <v>Jan</v>
      </c>
      <c r="F4" s="37">
        <f t="shared" ref="F4:F37" si="1">WEEKNUM(INT(C4),21)</f>
        <v>1</v>
      </c>
      <c r="G4" s="38">
        <f t="shared" ref="G4:G37" si="2">WEEKDAY(C4,2)</f>
        <v>3</v>
      </c>
      <c r="H4" s="1">
        <f t="shared" ref="H4:H37" si="3">INT(C4)</f>
        <v>42739</v>
      </c>
      <c r="I4" s="13">
        <f t="shared" ref="I4:I37" si="4">C4-INT(C4)</f>
        <v>0.43055555555474712</v>
      </c>
      <c r="J4" s="4">
        <f t="shared" ref="J4:J37" si="5">IF(OR(A4="Logout",A4="Wildcard"),"",(C5-C4)*24)</f>
        <v>0.70000000001164153</v>
      </c>
      <c r="K4" s="39">
        <f t="shared" ref="K4:K37" si="6">IF(OR(A4="Logout",A4="Wildcard"),"",(C5-C4))</f>
        <v>2.9166666667151731E-2</v>
      </c>
    </row>
    <row r="5" spans="1:11" x14ac:dyDescent="0.2">
      <c r="A5" t="s">
        <v>32</v>
      </c>
      <c r="B5" t="s">
        <v>33</v>
      </c>
      <c r="C5" s="34" t="s">
        <v>45</v>
      </c>
      <c r="E5" s="36" t="str">
        <f t="shared" si="0"/>
        <v>Jan</v>
      </c>
      <c r="F5" s="37">
        <f t="shared" si="1"/>
        <v>1</v>
      </c>
      <c r="G5" s="38">
        <f t="shared" si="2"/>
        <v>3</v>
      </c>
      <c r="H5" s="1">
        <f t="shared" si="3"/>
        <v>42739</v>
      </c>
      <c r="I5" s="13">
        <f t="shared" si="4"/>
        <v>0.45972222222189885</v>
      </c>
      <c r="J5" s="4">
        <f t="shared" si="5"/>
        <v>0.43333333334885538</v>
      </c>
      <c r="K5" s="39">
        <f t="shared" si="6"/>
        <v>1.8055555556202307E-2</v>
      </c>
    </row>
    <row r="6" spans="1:11" x14ac:dyDescent="0.2">
      <c r="A6" t="s">
        <v>8</v>
      </c>
      <c r="C6" s="34" t="s">
        <v>46</v>
      </c>
      <c r="E6" s="36" t="str">
        <f t="shared" si="0"/>
        <v>Jan</v>
      </c>
      <c r="F6" s="37">
        <f t="shared" si="1"/>
        <v>1</v>
      </c>
      <c r="G6" s="38">
        <f t="shared" si="2"/>
        <v>3</v>
      </c>
      <c r="H6" s="1">
        <f t="shared" si="3"/>
        <v>42739</v>
      </c>
      <c r="I6" s="13">
        <f t="shared" si="4"/>
        <v>0.47777777777810115</v>
      </c>
      <c r="J6" s="4">
        <f t="shared" si="5"/>
        <v>0.66666666674427688</v>
      </c>
      <c r="K6" s="39">
        <f t="shared" si="6"/>
        <v>2.7777777781011537E-2</v>
      </c>
    </row>
    <row r="7" spans="1:11" x14ac:dyDescent="0.2">
      <c r="A7" t="s">
        <v>32</v>
      </c>
      <c r="B7" t="s">
        <v>33</v>
      </c>
      <c r="C7" s="34" t="s">
        <v>47</v>
      </c>
      <c r="E7" s="36" t="str">
        <f t="shared" si="0"/>
        <v>Jan</v>
      </c>
      <c r="F7" s="37">
        <f t="shared" si="1"/>
        <v>1</v>
      </c>
      <c r="G7" s="38">
        <f t="shared" si="2"/>
        <v>3</v>
      </c>
      <c r="H7" s="1">
        <f t="shared" si="3"/>
        <v>42739</v>
      </c>
      <c r="I7" s="13">
        <f t="shared" si="4"/>
        <v>0.50555555555911269</v>
      </c>
      <c r="J7" s="4">
        <f t="shared" si="5"/>
        <v>0.36666666663950309</v>
      </c>
      <c r="K7" s="39">
        <f t="shared" si="6"/>
        <v>1.5277777776645962E-2</v>
      </c>
    </row>
    <row r="8" spans="1:11" x14ac:dyDescent="0.2">
      <c r="A8" t="s">
        <v>30</v>
      </c>
      <c r="B8" t="s">
        <v>31</v>
      </c>
      <c r="C8" s="34" t="s">
        <v>48</v>
      </c>
      <c r="E8" s="36" t="str">
        <f t="shared" si="0"/>
        <v>Jan</v>
      </c>
      <c r="F8" s="37">
        <f t="shared" si="1"/>
        <v>1</v>
      </c>
      <c r="G8" s="38">
        <f t="shared" si="2"/>
        <v>3</v>
      </c>
      <c r="H8" s="1">
        <f t="shared" si="3"/>
        <v>42739</v>
      </c>
      <c r="I8" s="13">
        <f t="shared" si="4"/>
        <v>0.52083333333575865</v>
      </c>
      <c r="J8" s="4">
        <f t="shared" si="5"/>
        <v>5.9333333332906477</v>
      </c>
      <c r="K8" s="39">
        <f t="shared" si="6"/>
        <v>0.24722222222044365</v>
      </c>
    </row>
    <row r="9" spans="1:11" x14ac:dyDescent="0.2">
      <c r="A9" t="s">
        <v>34</v>
      </c>
      <c r="C9" s="34" t="s">
        <v>49</v>
      </c>
      <c r="E9" s="36" t="str">
        <f t="shared" si="0"/>
        <v>Jan</v>
      </c>
      <c r="F9" s="37">
        <f t="shared" si="1"/>
        <v>1</v>
      </c>
      <c r="G9" s="38">
        <f t="shared" si="2"/>
        <v>3</v>
      </c>
      <c r="H9" s="1">
        <f t="shared" si="3"/>
        <v>42739</v>
      </c>
      <c r="I9" s="13">
        <f t="shared" si="4"/>
        <v>0.76805555555620231</v>
      </c>
      <c r="J9" s="4" t="str">
        <f t="shared" si="5"/>
        <v/>
      </c>
      <c r="K9" s="39" t="str">
        <f t="shared" si="6"/>
        <v/>
      </c>
    </row>
    <row r="10" spans="1:11" x14ac:dyDescent="0.2">
      <c r="A10" t="s">
        <v>28</v>
      </c>
      <c r="B10" t="s">
        <v>29</v>
      </c>
      <c r="C10" s="34" t="s">
        <v>50</v>
      </c>
      <c r="E10" s="36" t="str">
        <f t="shared" si="0"/>
        <v>Jan</v>
      </c>
      <c r="F10" s="37">
        <f t="shared" si="1"/>
        <v>1</v>
      </c>
      <c r="G10" s="38">
        <f t="shared" si="2"/>
        <v>4</v>
      </c>
      <c r="H10" s="1">
        <f t="shared" si="3"/>
        <v>42740</v>
      </c>
      <c r="I10" s="13">
        <f t="shared" si="4"/>
        <v>0.34097222222044365</v>
      </c>
      <c r="J10" s="4">
        <f t="shared" si="5"/>
        <v>0.9833333333954215</v>
      </c>
      <c r="K10" s="39">
        <f t="shared" si="6"/>
        <v>4.0972222224809229E-2</v>
      </c>
    </row>
    <row r="11" spans="1:11" x14ac:dyDescent="0.2">
      <c r="A11" t="s">
        <v>30</v>
      </c>
      <c r="B11" t="s">
        <v>31</v>
      </c>
      <c r="C11" s="34" t="s">
        <v>51</v>
      </c>
      <c r="E11" s="36" t="str">
        <f t="shared" si="0"/>
        <v>Jan</v>
      </c>
      <c r="F11" s="37">
        <f t="shared" si="1"/>
        <v>1</v>
      </c>
      <c r="G11" s="38">
        <f t="shared" si="2"/>
        <v>4</v>
      </c>
      <c r="H11" s="1">
        <f t="shared" si="3"/>
        <v>42740</v>
      </c>
      <c r="I11" s="13">
        <f t="shared" si="4"/>
        <v>0.38194444444525288</v>
      </c>
      <c r="J11" s="4">
        <f t="shared" si="5"/>
        <v>2.3333333332557231</v>
      </c>
      <c r="K11" s="39">
        <f t="shared" si="6"/>
        <v>9.7222222218988463E-2</v>
      </c>
    </row>
    <row r="12" spans="1:11" x14ac:dyDescent="0.2">
      <c r="A12" t="s">
        <v>8</v>
      </c>
      <c r="C12" s="34" t="s">
        <v>52</v>
      </c>
      <c r="E12" s="36" t="str">
        <f t="shared" si="0"/>
        <v>Jan</v>
      </c>
      <c r="F12" s="37">
        <f t="shared" si="1"/>
        <v>1</v>
      </c>
      <c r="G12" s="38">
        <f t="shared" si="2"/>
        <v>4</v>
      </c>
      <c r="H12" s="1">
        <f t="shared" si="3"/>
        <v>42740</v>
      </c>
      <c r="I12" s="13">
        <f t="shared" si="4"/>
        <v>0.47916666666424135</v>
      </c>
      <c r="J12" s="4">
        <f t="shared" si="5"/>
        <v>0.75</v>
      </c>
      <c r="K12" s="39">
        <f t="shared" si="6"/>
        <v>3.125E-2</v>
      </c>
    </row>
    <row r="13" spans="1:11" x14ac:dyDescent="0.2">
      <c r="A13" t="s">
        <v>30</v>
      </c>
      <c r="B13" t="s">
        <v>31</v>
      </c>
      <c r="C13" s="34" t="s">
        <v>53</v>
      </c>
      <c r="E13" s="36" t="str">
        <f t="shared" si="0"/>
        <v>Jan</v>
      </c>
      <c r="F13" s="37">
        <f t="shared" si="1"/>
        <v>1</v>
      </c>
      <c r="G13" s="38">
        <f t="shared" si="2"/>
        <v>4</v>
      </c>
      <c r="H13" s="1">
        <f t="shared" si="3"/>
        <v>42740</v>
      </c>
      <c r="I13" s="13">
        <f t="shared" si="4"/>
        <v>0.51041666666424135</v>
      </c>
      <c r="J13" s="4">
        <f t="shared" si="5"/>
        <v>5.6166666666395031</v>
      </c>
      <c r="K13" s="39">
        <f t="shared" si="6"/>
        <v>0.23402777777664596</v>
      </c>
    </row>
    <row r="14" spans="1:11" x14ac:dyDescent="0.2">
      <c r="A14" t="s">
        <v>34</v>
      </c>
      <c r="C14" s="34" t="s">
        <v>54</v>
      </c>
      <c r="E14" s="36" t="str">
        <f t="shared" si="0"/>
        <v>Jan</v>
      </c>
      <c r="F14" s="37">
        <f t="shared" si="1"/>
        <v>1</v>
      </c>
      <c r="G14" s="38">
        <f t="shared" si="2"/>
        <v>4</v>
      </c>
      <c r="H14" s="1">
        <f t="shared" si="3"/>
        <v>42740</v>
      </c>
      <c r="I14" s="13">
        <f t="shared" si="4"/>
        <v>0.74444444444088731</v>
      </c>
      <c r="J14" s="4" t="str">
        <f t="shared" si="5"/>
        <v/>
      </c>
      <c r="K14" s="39" t="str">
        <f t="shared" si="6"/>
        <v/>
      </c>
    </row>
    <row r="15" spans="1:11" x14ac:dyDescent="0.2">
      <c r="A15" s="33" t="s">
        <v>13</v>
      </c>
      <c r="B15" s="33"/>
      <c r="C15" s="35">
        <v>42741</v>
      </c>
      <c r="E15" s="36" t="str">
        <f t="shared" si="0"/>
        <v>Jan</v>
      </c>
      <c r="F15" s="37">
        <f t="shared" si="1"/>
        <v>1</v>
      </c>
      <c r="G15" s="38">
        <f t="shared" si="2"/>
        <v>5</v>
      </c>
      <c r="H15" s="1">
        <f t="shared" si="3"/>
        <v>42741</v>
      </c>
      <c r="I15" s="13">
        <f t="shared" si="4"/>
        <v>0</v>
      </c>
      <c r="J15" s="4" t="str">
        <f t="shared" si="5"/>
        <v/>
      </c>
      <c r="K15" s="39" t="str">
        <f t="shared" si="6"/>
        <v/>
      </c>
    </row>
    <row r="16" spans="1:11" x14ac:dyDescent="0.2">
      <c r="A16" s="33" t="s">
        <v>13</v>
      </c>
      <c r="B16" s="33"/>
      <c r="C16" s="35">
        <v>42742</v>
      </c>
      <c r="E16" s="36" t="str">
        <f t="shared" si="0"/>
        <v>Jan</v>
      </c>
      <c r="F16" s="37">
        <f t="shared" si="1"/>
        <v>1</v>
      </c>
      <c r="G16" s="38">
        <f t="shared" si="2"/>
        <v>6</v>
      </c>
      <c r="H16" s="1">
        <f t="shared" si="3"/>
        <v>42742</v>
      </c>
      <c r="I16" s="13">
        <f t="shared" si="4"/>
        <v>0</v>
      </c>
      <c r="J16" s="4" t="str">
        <f t="shared" si="5"/>
        <v/>
      </c>
      <c r="K16" s="39" t="str">
        <f t="shared" si="6"/>
        <v/>
      </c>
    </row>
    <row r="17" spans="1:11" x14ac:dyDescent="0.2">
      <c r="A17" s="33" t="s">
        <v>13</v>
      </c>
      <c r="B17" s="33"/>
      <c r="C17" s="35">
        <v>42743</v>
      </c>
      <c r="E17" s="36" t="str">
        <f t="shared" si="0"/>
        <v>Jan</v>
      </c>
      <c r="F17" s="37">
        <f t="shared" si="1"/>
        <v>1</v>
      </c>
      <c r="G17" s="38">
        <f t="shared" si="2"/>
        <v>7</v>
      </c>
      <c r="H17" s="1">
        <f t="shared" si="3"/>
        <v>42743</v>
      </c>
      <c r="I17" s="13">
        <f t="shared" si="4"/>
        <v>0</v>
      </c>
      <c r="J17" s="4" t="str">
        <f t="shared" si="5"/>
        <v/>
      </c>
      <c r="K17" s="39" t="str">
        <f t="shared" si="6"/>
        <v/>
      </c>
    </row>
    <row r="18" spans="1:11" x14ac:dyDescent="0.2">
      <c r="A18" t="s">
        <v>30</v>
      </c>
      <c r="B18" t="s">
        <v>31</v>
      </c>
      <c r="C18" s="34" t="s">
        <v>55</v>
      </c>
      <c r="E18" s="36" t="str">
        <f t="shared" si="0"/>
        <v>Jan</v>
      </c>
      <c r="F18" s="37">
        <f t="shared" si="1"/>
        <v>2</v>
      </c>
      <c r="G18" s="38">
        <f t="shared" si="2"/>
        <v>1</v>
      </c>
      <c r="H18" s="1">
        <f t="shared" si="3"/>
        <v>42744</v>
      </c>
      <c r="I18" s="13">
        <f t="shared" si="4"/>
        <v>0.33819444444088731</v>
      </c>
      <c r="J18" s="4">
        <f t="shared" si="5"/>
        <v>0.25000000011641532</v>
      </c>
      <c r="K18" s="39">
        <f t="shared" si="6"/>
        <v>1.0416666671517305E-2</v>
      </c>
    </row>
    <row r="19" spans="1:11" x14ac:dyDescent="0.2">
      <c r="A19" t="s">
        <v>32</v>
      </c>
      <c r="B19" t="s">
        <v>33</v>
      </c>
      <c r="C19" s="34" t="s">
        <v>56</v>
      </c>
      <c r="E19" s="36" t="str">
        <f t="shared" si="0"/>
        <v>Jan</v>
      </c>
      <c r="F19" s="37">
        <f t="shared" si="1"/>
        <v>2</v>
      </c>
      <c r="G19" s="38">
        <f t="shared" si="2"/>
        <v>1</v>
      </c>
      <c r="H19" s="1">
        <f t="shared" si="3"/>
        <v>42744</v>
      </c>
      <c r="I19" s="13">
        <f t="shared" si="4"/>
        <v>0.34861111111240461</v>
      </c>
      <c r="J19" s="4">
        <f t="shared" si="5"/>
        <v>0.18333333323244005</v>
      </c>
      <c r="K19" s="39">
        <f t="shared" si="6"/>
        <v>7.6388888846850023E-3</v>
      </c>
    </row>
    <row r="20" spans="1:11" x14ac:dyDescent="0.2">
      <c r="A20" t="s">
        <v>35</v>
      </c>
      <c r="B20" t="s">
        <v>36</v>
      </c>
      <c r="C20" s="34" t="s">
        <v>57</v>
      </c>
      <c r="E20" s="36" t="str">
        <f t="shared" si="0"/>
        <v>Jan</v>
      </c>
      <c r="F20" s="37">
        <f t="shared" si="1"/>
        <v>2</v>
      </c>
      <c r="G20" s="38">
        <f t="shared" si="2"/>
        <v>1</v>
      </c>
      <c r="H20" s="1">
        <f t="shared" si="3"/>
        <v>42744</v>
      </c>
      <c r="I20" s="13">
        <f t="shared" si="4"/>
        <v>0.35624999999708962</v>
      </c>
      <c r="J20" s="4">
        <f t="shared" si="5"/>
        <v>3.5666666667675599</v>
      </c>
      <c r="K20" s="39">
        <f t="shared" si="6"/>
        <v>0.148611111115315</v>
      </c>
    </row>
    <row r="21" spans="1:11" x14ac:dyDescent="0.2">
      <c r="A21" t="s">
        <v>8</v>
      </c>
      <c r="C21" s="34" t="s">
        <v>58</v>
      </c>
      <c r="E21" s="36" t="str">
        <f t="shared" si="0"/>
        <v>Jan</v>
      </c>
      <c r="F21" s="37">
        <f t="shared" si="1"/>
        <v>2</v>
      </c>
      <c r="G21" s="38">
        <f t="shared" si="2"/>
        <v>1</v>
      </c>
      <c r="H21" s="1">
        <f t="shared" si="3"/>
        <v>42744</v>
      </c>
      <c r="I21" s="13">
        <f t="shared" si="4"/>
        <v>0.50486111111240461</v>
      </c>
      <c r="J21" s="4">
        <f t="shared" si="5"/>
        <v>0.94999999995343387</v>
      </c>
      <c r="K21" s="39">
        <f t="shared" si="6"/>
        <v>3.9583333331393078E-2</v>
      </c>
    </row>
    <row r="22" spans="1:11" x14ac:dyDescent="0.2">
      <c r="A22" t="s">
        <v>37</v>
      </c>
      <c r="B22" t="s">
        <v>38</v>
      </c>
      <c r="C22" s="34" t="s">
        <v>59</v>
      </c>
      <c r="E22" s="36" t="str">
        <f t="shared" si="0"/>
        <v>Jan</v>
      </c>
      <c r="F22" s="37">
        <f t="shared" si="1"/>
        <v>2</v>
      </c>
      <c r="G22" s="38">
        <f t="shared" si="2"/>
        <v>1</v>
      </c>
      <c r="H22" s="1">
        <f t="shared" si="3"/>
        <v>42744</v>
      </c>
      <c r="I22" s="13">
        <f t="shared" si="4"/>
        <v>0.54444444444379769</v>
      </c>
      <c r="J22" s="4">
        <f t="shared" si="5"/>
        <v>2.1666666667442769</v>
      </c>
      <c r="K22" s="39">
        <f t="shared" si="6"/>
        <v>9.0277777781011537E-2</v>
      </c>
    </row>
    <row r="23" spans="1:11" x14ac:dyDescent="0.2">
      <c r="A23" t="s">
        <v>35</v>
      </c>
      <c r="B23" t="s">
        <v>36</v>
      </c>
      <c r="C23" s="34" t="s">
        <v>60</v>
      </c>
      <c r="E23" s="36" t="str">
        <f t="shared" si="0"/>
        <v>Jan</v>
      </c>
      <c r="F23" s="37">
        <f t="shared" si="1"/>
        <v>2</v>
      </c>
      <c r="G23" s="38">
        <f t="shared" si="2"/>
        <v>1</v>
      </c>
      <c r="H23" s="1">
        <f t="shared" si="3"/>
        <v>42744</v>
      </c>
      <c r="I23" s="13">
        <f t="shared" si="4"/>
        <v>0.63472222222480923</v>
      </c>
      <c r="J23" s="4">
        <f t="shared" si="5"/>
        <v>1.4666666665580124</v>
      </c>
      <c r="K23" s="39">
        <f t="shared" si="6"/>
        <v>6.1111111106583849E-2</v>
      </c>
    </row>
    <row r="24" spans="1:11" x14ac:dyDescent="0.2">
      <c r="A24" t="s">
        <v>34</v>
      </c>
      <c r="C24" s="34" t="s">
        <v>61</v>
      </c>
      <c r="E24" s="36" t="str">
        <f t="shared" si="0"/>
        <v>Jan</v>
      </c>
      <c r="F24" s="37">
        <f t="shared" si="1"/>
        <v>2</v>
      </c>
      <c r="G24" s="38">
        <f t="shared" si="2"/>
        <v>1</v>
      </c>
      <c r="H24" s="1">
        <f t="shared" si="3"/>
        <v>42744</v>
      </c>
      <c r="I24" s="13">
        <f t="shared" si="4"/>
        <v>0.69583333333139308</v>
      </c>
      <c r="J24" s="4" t="str">
        <f t="shared" si="5"/>
        <v/>
      </c>
      <c r="K24" s="39" t="str">
        <f t="shared" si="6"/>
        <v/>
      </c>
    </row>
    <row r="25" spans="1:11" x14ac:dyDescent="0.2">
      <c r="A25" t="s">
        <v>28</v>
      </c>
      <c r="B25" t="s">
        <v>29</v>
      </c>
      <c r="C25" s="34" t="s">
        <v>62</v>
      </c>
      <c r="E25" s="36" t="str">
        <f t="shared" si="0"/>
        <v>Jan</v>
      </c>
      <c r="F25" s="37">
        <f t="shared" si="1"/>
        <v>2</v>
      </c>
      <c r="G25" s="38">
        <f t="shared" si="2"/>
        <v>2</v>
      </c>
      <c r="H25" s="1">
        <f t="shared" si="3"/>
        <v>42745</v>
      </c>
      <c r="I25" s="13">
        <f t="shared" si="4"/>
        <v>0.32361111111094942</v>
      </c>
      <c r="J25" s="4">
        <f t="shared" si="5"/>
        <v>0.13333333341870457</v>
      </c>
      <c r="K25" s="39">
        <f t="shared" si="6"/>
        <v>5.5555555591126904E-3</v>
      </c>
    </row>
    <row r="26" spans="1:11" x14ac:dyDescent="0.2">
      <c r="A26" t="s">
        <v>39</v>
      </c>
      <c r="B26" t="s">
        <v>40</v>
      </c>
      <c r="C26" s="34" t="s">
        <v>63</v>
      </c>
      <c r="E26" s="36" t="str">
        <f t="shared" si="0"/>
        <v>Jan</v>
      </c>
      <c r="F26" s="37">
        <f t="shared" si="1"/>
        <v>2</v>
      </c>
      <c r="G26" s="38">
        <f t="shared" si="2"/>
        <v>2</v>
      </c>
      <c r="H26" s="1">
        <f t="shared" si="3"/>
        <v>42745</v>
      </c>
      <c r="I26" s="13">
        <f t="shared" si="4"/>
        <v>0.32916666667006211</v>
      </c>
      <c r="J26" s="4">
        <f t="shared" si="5"/>
        <v>0.16666666651144624</v>
      </c>
      <c r="K26" s="39">
        <f t="shared" si="6"/>
        <v>6.9444444379769266E-3</v>
      </c>
    </row>
    <row r="27" spans="1:11" x14ac:dyDescent="0.2">
      <c r="A27" t="s">
        <v>28</v>
      </c>
      <c r="B27" t="s">
        <v>29</v>
      </c>
      <c r="C27" s="34" t="s">
        <v>64</v>
      </c>
      <c r="E27" s="36" t="str">
        <f t="shared" si="0"/>
        <v>Jan</v>
      </c>
      <c r="F27" s="37">
        <f t="shared" si="1"/>
        <v>2</v>
      </c>
      <c r="G27" s="38">
        <f t="shared" si="2"/>
        <v>2</v>
      </c>
      <c r="H27" s="1">
        <f t="shared" si="3"/>
        <v>42745</v>
      </c>
      <c r="I27" s="13">
        <f t="shared" si="4"/>
        <v>0.33611111110803904</v>
      </c>
      <c r="J27" s="4">
        <f t="shared" si="5"/>
        <v>0.6833333334652707</v>
      </c>
      <c r="K27" s="39">
        <f t="shared" si="6"/>
        <v>2.8472222227719612E-2</v>
      </c>
    </row>
    <row r="28" spans="1:11" x14ac:dyDescent="0.2">
      <c r="A28" t="s">
        <v>39</v>
      </c>
      <c r="B28" t="s">
        <v>40</v>
      </c>
      <c r="C28" s="34" t="s">
        <v>65</v>
      </c>
      <c r="E28" s="36" t="str">
        <f t="shared" si="0"/>
        <v>Jan</v>
      </c>
      <c r="F28" s="37">
        <f t="shared" si="1"/>
        <v>2</v>
      </c>
      <c r="G28" s="38">
        <f t="shared" si="2"/>
        <v>2</v>
      </c>
      <c r="H28" s="1">
        <f t="shared" si="3"/>
        <v>42745</v>
      </c>
      <c r="I28" s="13">
        <f t="shared" si="4"/>
        <v>0.36458333333575865</v>
      </c>
      <c r="J28" s="4">
        <f t="shared" si="5"/>
        <v>0.16666666668606922</v>
      </c>
      <c r="K28" s="39">
        <f t="shared" si="6"/>
        <v>6.9444444452528842E-3</v>
      </c>
    </row>
    <row r="29" spans="1:11" x14ac:dyDescent="0.2">
      <c r="A29" t="s">
        <v>28</v>
      </c>
      <c r="B29" t="s">
        <v>29</v>
      </c>
      <c r="C29" s="34" t="s">
        <v>66</v>
      </c>
      <c r="E29" s="36" t="str">
        <f t="shared" si="0"/>
        <v>Jan</v>
      </c>
      <c r="F29" s="37">
        <f t="shared" si="1"/>
        <v>2</v>
      </c>
      <c r="G29" s="38">
        <f t="shared" si="2"/>
        <v>2</v>
      </c>
      <c r="H29" s="1">
        <f t="shared" si="3"/>
        <v>42745</v>
      </c>
      <c r="I29" s="13">
        <f t="shared" si="4"/>
        <v>0.37152777778101154</v>
      </c>
      <c r="J29" s="4">
        <f t="shared" si="5"/>
        <v>1.6666666546370834E-2</v>
      </c>
      <c r="K29" s="39">
        <f t="shared" si="6"/>
        <v>6.9444443943211809E-4</v>
      </c>
    </row>
    <row r="30" spans="1:11" x14ac:dyDescent="0.2">
      <c r="A30" t="s">
        <v>32</v>
      </c>
      <c r="B30" t="s">
        <v>33</v>
      </c>
      <c r="C30" s="34" t="s">
        <v>67</v>
      </c>
      <c r="E30" s="36" t="str">
        <f t="shared" si="0"/>
        <v>Jan</v>
      </c>
      <c r="F30" s="37">
        <f t="shared" si="1"/>
        <v>2</v>
      </c>
      <c r="G30" s="38">
        <f t="shared" si="2"/>
        <v>2</v>
      </c>
      <c r="H30" s="1">
        <f t="shared" si="3"/>
        <v>42745</v>
      </c>
      <c r="I30" s="13">
        <f t="shared" si="4"/>
        <v>0.37222222222044365</v>
      </c>
      <c r="J30" s="4">
        <f t="shared" si="5"/>
        <v>1.3000000000465661</v>
      </c>
      <c r="K30" s="39">
        <f t="shared" si="6"/>
        <v>5.4166666668606922E-2</v>
      </c>
    </row>
    <row r="31" spans="1:11" x14ac:dyDescent="0.2">
      <c r="A31" t="s">
        <v>30</v>
      </c>
      <c r="B31" t="s">
        <v>31</v>
      </c>
      <c r="C31" s="34" t="s">
        <v>68</v>
      </c>
      <c r="E31" s="36" t="str">
        <f t="shared" si="0"/>
        <v>Jan</v>
      </c>
      <c r="F31" s="37">
        <f t="shared" si="1"/>
        <v>2</v>
      </c>
      <c r="G31" s="38">
        <f t="shared" si="2"/>
        <v>2</v>
      </c>
      <c r="H31" s="1">
        <f t="shared" si="3"/>
        <v>42745</v>
      </c>
      <c r="I31" s="13">
        <f t="shared" si="4"/>
        <v>0.42638888888905058</v>
      </c>
      <c r="J31" s="4">
        <f t="shared" si="5"/>
        <v>1.3000000000465661</v>
      </c>
      <c r="K31" s="39">
        <f t="shared" si="6"/>
        <v>5.4166666668606922E-2</v>
      </c>
    </row>
    <row r="32" spans="1:11" x14ac:dyDescent="0.2">
      <c r="A32" t="s">
        <v>8</v>
      </c>
      <c r="C32" s="34" t="s">
        <v>69</v>
      </c>
      <c r="E32" s="36" t="str">
        <f t="shared" si="0"/>
        <v>Jan</v>
      </c>
      <c r="F32" s="37">
        <f t="shared" si="1"/>
        <v>2</v>
      </c>
      <c r="G32" s="38">
        <f t="shared" si="2"/>
        <v>2</v>
      </c>
      <c r="H32" s="1">
        <f t="shared" si="3"/>
        <v>42745</v>
      </c>
      <c r="I32" s="13">
        <f t="shared" si="4"/>
        <v>0.4805555555576575</v>
      </c>
      <c r="J32" s="4">
        <f t="shared" si="5"/>
        <v>1.3333333333139308</v>
      </c>
      <c r="K32" s="39">
        <f t="shared" si="6"/>
        <v>5.5555555554747116E-2</v>
      </c>
    </row>
    <row r="33" spans="1:11" x14ac:dyDescent="0.2">
      <c r="A33" t="s">
        <v>35</v>
      </c>
      <c r="B33" t="s">
        <v>36</v>
      </c>
      <c r="C33" s="34" t="s">
        <v>70</v>
      </c>
      <c r="E33" s="36" t="str">
        <f t="shared" si="0"/>
        <v>Jan</v>
      </c>
      <c r="F33" s="37">
        <f t="shared" si="1"/>
        <v>2</v>
      </c>
      <c r="G33" s="38">
        <f t="shared" si="2"/>
        <v>2</v>
      </c>
      <c r="H33" s="1">
        <f t="shared" si="3"/>
        <v>42745</v>
      </c>
      <c r="I33" s="13">
        <f t="shared" si="4"/>
        <v>0.53611111111240461</v>
      </c>
      <c r="J33" s="4">
        <f t="shared" si="5"/>
        <v>0.16666666668606922</v>
      </c>
      <c r="K33" s="39">
        <f t="shared" si="6"/>
        <v>6.9444444452528842E-3</v>
      </c>
    </row>
    <row r="34" spans="1:11" x14ac:dyDescent="0.2">
      <c r="A34" t="s">
        <v>32</v>
      </c>
      <c r="B34" t="s">
        <v>33</v>
      </c>
      <c r="C34" s="34" t="s">
        <v>71</v>
      </c>
      <c r="E34" s="36" t="str">
        <f t="shared" si="0"/>
        <v>Jan</v>
      </c>
      <c r="F34" s="37">
        <f t="shared" si="1"/>
        <v>2</v>
      </c>
      <c r="G34" s="38">
        <f t="shared" si="2"/>
        <v>2</v>
      </c>
      <c r="H34" s="1">
        <f t="shared" si="3"/>
        <v>42745</v>
      </c>
      <c r="I34" s="13">
        <f t="shared" si="4"/>
        <v>0.5430555555576575</v>
      </c>
      <c r="J34" s="4">
        <f t="shared" si="5"/>
        <v>0.26666666666278616</v>
      </c>
      <c r="K34" s="39">
        <f t="shared" si="6"/>
        <v>1.1111111110949423E-2</v>
      </c>
    </row>
    <row r="35" spans="1:11" x14ac:dyDescent="0.2">
      <c r="A35" t="s">
        <v>35</v>
      </c>
      <c r="B35" t="s">
        <v>36</v>
      </c>
      <c r="C35" s="34" t="s">
        <v>72</v>
      </c>
      <c r="E35" s="36" t="str">
        <f t="shared" si="0"/>
        <v>Jan</v>
      </c>
      <c r="F35" s="37">
        <f t="shared" si="1"/>
        <v>2</v>
      </c>
      <c r="G35" s="38">
        <f t="shared" si="2"/>
        <v>2</v>
      </c>
      <c r="H35" s="1">
        <f t="shared" si="3"/>
        <v>42745</v>
      </c>
      <c r="I35" s="13">
        <f t="shared" si="4"/>
        <v>0.55416666666860692</v>
      </c>
      <c r="J35" s="4">
        <f t="shared" si="5"/>
        <v>1.6166666666977108</v>
      </c>
      <c r="K35" s="39">
        <f t="shared" si="6"/>
        <v>6.7361111112404615E-2</v>
      </c>
    </row>
    <row r="36" spans="1:11" x14ac:dyDescent="0.2">
      <c r="A36" t="s">
        <v>30</v>
      </c>
      <c r="B36" t="s">
        <v>31</v>
      </c>
      <c r="C36" s="34" t="s">
        <v>73</v>
      </c>
      <c r="E36" s="36" t="str">
        <f t="shared" si="0"/>
        <v>Jan</v>
      </c>
      <c r="F36" s="37">
        <f t="shared" si="1"/>
        <v>2</v>
      </c>
      <c r="G36" s="38">
        <f t="shared" si="2"/>
        <v>2</v>
      </c>
      <c r="H36" s="1">
        <f t="shared" si="3"/>
        <v>42745</v>
      </c>
      <c r="I36" s="13">
        <f t="shared" si="4"/>
        <v>0.62152777778101154</v>
      </c>
      <c r="J36" s="4">
        <f t="shared" si="5"/>
        <v>1.5333333332673647</v>
      </c>
      <c r="K36" s="39">
        <f t="shared" si="6"/>
        <v>6.3888888886140194E-2</v>
      </c>
    </row>
    <row r="37" spans="1:11" x14ac:dyDescent="0.2">
      <c r="A37" t="s">
        <v>34</v>
      </c>
      <c r="C37" s="34" t="s">
        <v>74</v>
      </c>
      <c r="E37" s="36" t="str">
        <f t="shared" si="0"/>
        <v>Jan</v>
      </c>
      <c r="F37" s="37">
        <f t="shared" si="1"/>
        <v>2</v>
      </c>
      <c r="G37" s="38">
        <f t="shared" si="2"/>
        <v>2</v>
      </c>
      <c r="H37" s="1">
        <f t="shared" si="3"/>
        <v>42745</v>
      </c>
      <c r="I37" s="13">
        <f t="shared" si="4"/>
        <v>0.68541666666715173</v>
      </c>
      <c r="J37" s="4" t="str">
        <f t="shared" si="5"/>
        <v/>
      </c>
      <c r="K37" s="39" t="str">
        <f t="shared" si="6"/>
        <v/>
      </c>
    </row>
    <row r="38" spans="1:11" x14ac:dyDescent="0.2">
      <c r="C38" s="34"/>
    </row>
  </sheetData>
  <autoFilter ref="A2:K2"/>
  <sortState ref="A3:C34">
    <sortCondition ref="C3:C34"/>
  </sortState>
  <pageMargins left="0.7" right="0.7" top="0.78740157499999996" bottom="0.78740157499999996" header="0.3" footer="0.3"/>
  <pageSetup paperSize="9" orientation="portrait" verticalDpi="200" r:id="rId1"/>
  <headerFooter>
    <oddFooter>&amp;LFrei verwendbar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GZ_Timestamp">
                <anchor moveWithCells="1" sizeWithCells="1">
                  <from>
                    <xdr:col>1</xdr:col>
                    <xdr:colOff>9525</xdr:colOff>
                    <xdr:row>0</xdr:row>
                    <xdr:rowOff>66675</xdr:rowOff>
                  </from>
                  <to>
                    <xdr:col>1</xdr:col>
                    <xdr:colOff>990600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Z_Formeln_eintragen">
                <anchor moveWithCells="1" sizeWithCells="1"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2</xdr:col>
                    <xdr:colOff>1285875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N293"/>
  <sheetViews>
    <sheetView workbookViewId="0">
      <pane ySplit="3" topLeftCell="A4" activePane="bottomLeft" state="frozen"/>
      <selection pane="bottomLeft" activeCell="A10" sqref="A10"/>
    </sheetView>
  </sheetViews>
  <sheetFormatPr baseColWidth="10" defaultRowHeight="12.75" x14ac:dyDescent="0.2"/>
  <cols>
    <col min="1" max="1" width="10.140625" style="11" customWidth="1"/>
    <col min="2" max="2" width="12.42578125" customWidth="1"/>
    <col min="3" max="3" width="13" customWidth="1"/>
    <col min="4" max="4" width="2.7109375" customWidth="1"/>
    <col min="5" max="5" width="9.5703125" customWidth="1"/>
    <col min="6" max="6" width="8.28515625" customWidth="1"/>
    <col min="7" max="7" width="15.7109375" customWidth="1"/>
    <col min="8" max="8" width="8.5703125" customWidth="1"/>
    <col min="9" max="9" width="7.28515625" customWidth="1"/>
    <col min="10" max="10" width="6.5703125" customWidth="1"/>
    <col min="11" max="12" width="5.5703125" customWidth="1"/>
    <col min="13" max="13" width="9.140625" customWidth="1"/>
    <col min="14" max="14" width="15.7109375" customWidth="1"/>
    <col min="15" max="15" width="27.85546875" bestFit="1" customWidth="1"/>
    <col min="16" max="16" width="28.85546875" bestFit="1" customWidth="1"/>
    <col min="17" max="17" width="27.85546875" bestFit="1" customWidth="1"/>
    <col min="18" max="18" width="28.85546875" bestFit="1" customWidth="1"/>
    <col min="19" max="19" width="27.85546875" bestFit="1" customWidth="1"/>
    <col min="20" max="20" width="28.85546875" bestFit="1" customWidth="1"/>
    <col min="21" max="21" width="36" bestFit="1" customWidth="1"/>
    <col min="22" max="22" width="37.140625" bestFit="1" customWidth="1"/>
  </cols>
  <sheetData>
    <row r="2" spans="1:6" hidden="1" x14ac:dyDescent="0.2">
      <c r="E2" s="3" t="s">
        <v>19</v>
      </c>
      <c r="F2" s="3" t="s">
        <v>11</v>
      </c>
    </row>
    <row r="3" spans="1:6" ht="25.5" customHeight="1" x14ac:dyDescent="0.2">
      <c r="A3" s="10" t="s">
        <v>1</v>
      </c>
      <c r="B3" s="9" t="s">
        <v>15</v>
      </c>
      <c r="C3" s="9" t="s">
        <v>16</v>
      </c>
      <c r="E3" s="3" t="s">
        <v>1</v>
      </c>
      <c r="F3" t="s">
        <v>8</v>
      </c>
    </row>
    <row r="4" spans="1:6" x14ac:dyDescent="0.2">
      <c r="A4" s="16">
        <v>42739</v>
      </c>
      <c r="B4" s="8">
        <v>0.32777777777777778</v>
      </c>
      <c r="C4" s="8">
        <v>0.7680555555555556</v>
      </c>
      <c r="E4" s="1">
        <v>42739</v>
      </c>
      <c r="F4" s="13">
        <v>2.7777777777777776E-2</v>
      </c>
    </row>
    <row r="5" spans="1:6" x14ac:dyDescent="0.2">
      <c r="A5" s="16">
        <v>42740</v>
      </c>
      <c r="B5" s="8">
        <v>0.34097222222222223</v>
      </c>
      <c r="C5" s="8">
        <v>0.74444444444444446</v>
      </c>
      <c r="E5" s="1">
        <v>42740</v>
      </c>
      <c r="F5" s="13">
        <v>3.125E-2</v>
      </c>
    </row>
    <row r="6" spans="1:6" x14ac:dyDescent="0.2">
      <c r="A6" s="16">
        <v>42741</v>
      </c>
      <c r="B6" s="8">
        <v>0</v>
      </c>
      <c r="C6" s="8">
        <v>0</v>
      </c>
      <c r="E6" s="1">
        <v>42741</v>
      </c>
      <c r="F6" s="13"/>
    </row>
    <row r="7" spans="1:6" x14ac:dyDescent="0.2">
      <c r="A7" s="16">
        <v>42742</v>
      </c>
      <c r="B7" s="8">
        <v>0</v>
      </c>
      <c r="C7" s="8">
        <v>0</v>
      </c>
      <c r="E7" s="1">
        <v>42742</v>
      </c>
      <c r="F7" s="13"/>
    </row>
    <row r="8" spans="1:6" x14ac:dyDescent="0.2">
      <c r="A8" s="16">
        <v>42743</v>
      </c>
      <c r="B8" s="8">
        <v>0</v>
      </c>
      <c r="C8" s="8">
        <v>0</v>
      </c>
      <c r="E8" s="1">
        <v>42743</v>
      </c>
      <c r="F8" s="13"/>
    </row>
    <row r="9" spans="1:6" x14ac:dyDescent="0.2">
      <c r="A9" s="16">
        <v>42744</v>
      </c>
      <c r="B9" s="8">
        <v>0.33819444444444446</v>
      </c>
      <c r="C9" s="8">
        <v>0.6958333333333333</v>
      </c>
      <c r="E9" s="1">
        <v>42744</v>
      </c>
      <c r="F9" s="13">
        <v>3.9583333333333331E-2</v>
      </c>
    </row>
    <row r="10" spans="1:6" x14ac:dyDescent="0.2">
      <c r="A10" s="16">
        <v>42745</v>
      </c>
      <c r="B10" s="8">
        <v>0.32361111111111113</v>
      </c>
      <c r="C10" s="8">
        <v>0.68541666666666667</v>
      </c>
      <c r="E10" s="1">
        <v>42745</v>
      </c>
      <c r="F10" s="13">
        <v>5.5555555555555552E-2</v>
      </c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4" x14ac:dyDescent="0.2">
      <c r="A49"/>
    </row>
    <row r="50" spans="1:14" x14ac:dyDescent="0.2">
      <c r="A50"/>
    </row>
    <row r="51" spans="1:14" x14ac:dyDescent="0.2">
      <c r="A51"/>
    </row>
    <row r="52" spans="1:14" x14ac:dyDescent="0.2">
      <c r="A52"/>
    </row>
    <row r="53" spans="1:14" x14ac:dyDescent="0.2">
      <c r="A53"/>
    </row>
    <row r="54" spans="1:14" x14ac:dyDescent="0.2">
      <c r="A54"/>
    </row>
    <row r="55" spans="1:14" x14ac:dyDescent="0.2">
      <c r="A55"/>
    </row>
    <row r="56" spans="1:14" x14ac:dyDescent="0.2">
      <c r="A56"/>
    </row>
    <row r="57" spans="1:14" x14ac:dyDescent="0.2">
      <c r="A57"/>
    </row>
    <row r="58" spans="1:14" x14ac:dyDescent="0.2">
      <c r="A58"/>
    </row>
    <row r="59" spans="1:14" x14ac:dyDescent="0.2">
      <c r="A59"/>
    </row>
    <row r="60" spans="1:14" s="7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">
      <c r="A61"/>
    </row>
    <row r="62" spans="1:14" x14ac:dyDescent="0.2">
      <c r="A62"/>
    </row>
    <row r="63" spans="1:14" x14ac:dyDescent="0.2">
      <c r="A63"/>
    </row>
    <row r="64" spans="1:1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</sheetData>
  <conditionalFormatting pivot="1" sqref="B4:C10">
    <cfRule type="cellIs" dxfId="11" priority="1" operator="equal">
      <formula>0</formula>
    </cfRule>
  </conditionalFormatting>
  <pageMargins left="0.7" right="0.7" top="0.78740157499999996" bottom="0.78740157499999996" header="0.3" footer="0.3"/>
  <pageSetup paperSize="9" orientation="portrait" verticalDpi="200" r:id="rId3"/>
  <headerFooter>
    <oddFooter>&amp;LFrei verwendbar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3:I12"/>
  <sheetViews>
    <sheetView zoomScaleNormal="100" workbookViewId="0">
      <pane ySplit="4" topLeftCell="A5" activePane="bottomLeft" state="frozen"/>
      <selection pane="bottomLeft" activeCell="B7" sqref="B7"/>
    </sheetView>
  </sheetViews>
  <sheetFormatPr baseColWidth="10" defaultColWidth="18.7109375" defaultRowHeight="12.75" x14ac:dyDescent="0.2"/>
  <cols>
    <col min="1" max="1" width="10.7109375" customWidth="1"/>
    <col min="2" max="2" width="14.85546875" customWidth="1"/>
    <col min="3" max="8" width="11.7109375" customWidth="1"/>
    <col min="9" max="9" width="16.7109375" customWidth="1"/>
    <col min="10" max="10" width="13" bestFit="1" customWidth="1"/>
    <col min="11" max="11" width="9.140625" bestFit="1" customWidth="1"/>
  </cols>
  <sheetData>
    <row r="3" spans="1:9" x14ac:dyDescent="0.2">
      <c r="A3" s="3" t="s">
        <v>7</v>
      </c>
      <c r="B3" s="3" t="s">
        <v>4</v>
      </c>
    </row>
    <row r="4" spans="1:9" x14ac:dyDescent="0.2">
      <c r="A4" s="3" t="s">
        <v>2</v>
      </c>
      <c r="B4" t="s">
        <v>13</v>
      </c>
      <c r="C4" t="s">
        <v>28</v>
      </c>
      <c r="D4" t="s">
        <v>30</v>
      </c>
      <c r="E4" t="s">
        <v>32</v>
      </c>
      <c r="F4" t="s">
        <v>35</v>
      </c>
      <c r="G4" t="s">
        <v>37</v>
      </c>
      <c r="H4" t="s">
        <v>39</v>
      </c>
      <c r="I4" t="s">
        <v>3</v>
      </c>
    </row>
    <row r="5" spans="1:9" x14ac:dyDescent="0.2">
      <c r="A5" s="5">
        <v>42739</v>
      </c>
      <c r="B5" s="4"/>
      <c r="C5" s="4">
        <v>2.4666666666744277</v>
      </c>
      <c r="D5" s="4">
        <v>6.6333333333022892</v>
      </c>
      <c r="E5" s="4">
        <v>0.79999999998835847</v>
      </c>
      <c r="F5" s="4"/>
      <c r="G5" s="4"/>
      <c r="H5" s="4"/>
      <c r="I5" s="4">
        <v>9.8999999999650754</v>
      </c>
    </row>
    <row r="6" spans="1:9" x14ac:dyDescent="0.2">
      <c r="A6" s="5">
        <v>42740</v>
      </c>
      <c r="B6" s="4"/>
      <c r="C6" s="4">
        <v>0.9833333333954215</v>
      </c>
      <c r="D6" s="4">
        <v>7.9499999998952262</v>
      </c>
      <c r="E6" s="4"/>
      <c r="F6" s="4"/>
      <c r="G6" s="4"/>
      <c r="H6" s="4"/>
      <c r="I6" s="4">
        <v>8.9333333332906477</v>
      </c>
    </row>
    <row r="7" spans="1:9" x14ac:dyDescent="0.2">
      <c r="A7" s="5">
        <v>42741</v>
      </c>
      <c r="B7" s="4">
        <v>0</v>
      </c>
      <c r="C7" s="4"/>
      <c r="D7" s="4"/>
      <c r="E7" s="4"/>
      <c r="F7" s="4"/>
      <c r="G7" s="4"/>
      <c r="H7" s="4"/>
      <c r="I7" s="4">
        <v>0</v>
      </c>
    </row>
    <row r="8" spans="1:9" x14ac:dyDescent="0.2">
      <c r="A8" s="5">
        <v>42742</v>
      </c>
      <c r="B8" s="4">
        <v>0</v>
      </c>
      <c r="C8" s="4"/>
      <c r="D8" s="4"/>
      <c r="E8" s="4"/>
      <c r="F8" s="4"/>
      <c r="G8" s="4"/>
      <c r="H8" s="4"/>
      <c r="I8" s="4">
        <v>0</v>
      </c>
    </row>
    <row r="9" spans="1:9" x14ac:dyDescent="0.2">
      <c r="A9" s="5">
        <v>42743</v>
      </c>
      <c r="B9" s="4">
        <v>0</v>
      </c>
      <c r="C9" s="4"/>
      <c r="D9" s="4"/>
      <c r="E9" s="4"/>
      <c r="F9" s="4"/>
      <c r="G9" s="4"/>
      <c r="H9" s="4"/>
      <c r="I9" s="4">
        <v>0</v>
      </c>
    </row>
    <row r="10" spans="1:9" x14ac:dyDescent="0.2">
      <c r="A10" s="5">
        <v>42744</v>
      </c>
      <c r="B10" s="4"/>
      <c r="C10" s="4"/>
      <c r="D10" s="4">
        <v>0.25000000011641532</v>
      </c>
      <c r="E10" s="4">
        <v>0.18333333323244005</v>
      </c>
      <c r="F10" s="4">
        <v>5.0333333333255723</v>
      </c>
      <c r="G10" s="4">
        <v>2.1666666667442769</v>
      </c>
      <c r="H10" s="4"/>
      <c r="I10" s="4">
        <v>7.6333333334187046</v>
      </c>
    </row>
    <row r="11" spans="1:9" x14ac:dyDescent="0.2">
      <c r="A11" s="5">
        <v>42745</v>
      </c>
      <c r="B11" s="4"/>
      <c r="C11" s="4">
        <v>0.8333333334303461</v>
      </c>
      <c r="D11" s="4">
        <v>2.8333333333139308</v>
      </c>
      <c r="E11" s="4">
        <v>1.5666666667093523</v>
      </c>
      <c r="F11" s="4">
        <v>1.78333333338378</v>
      </c>
      <c r="G11" s="4"/>
      <c r="H11" s="4">
        <v>0.33333333319751546</v>
      </c>
      <c r="I11" s="4">
        <v>7.3500000000349246</v>
      </c>
    </row>
    <row r="12" spans="1:9" x14ac:dyDescent="0.2">
      <c r="A12" s="5" t="s">
        <v>3</v>
      </c>
      <c r="B12" s="4">
        <v>0</v>
      </c>
      <c r="C12" s="4">
        <v>4.2833333335001953</v>
      </c>
      <c r="D12" s="4">
        <v>17.666666666627862</v>
      </c>
      <c r="E12" s="4">
        <v>2.5499999999301508</v>
      </c>
      <c r="F12" s="4">
        <v>6.8166666667093523</v>
      </c>
      <c r="G12" s="4">
        <v>2.1666666667442769</v>
      </c>
      <c r="H12" s="4">
        <v>0.33333333319751546</v>
      </c>
      <c r="I12" s="4">
        <v>33.816666666709352</v>
      </c>
    </row>
  </sheetData>
  <conditionalFormatting pivot="1" sqref="I5:I12">
    <cfRule type="cellIs" dxfId="4" priority="1" operator="greaterThan">
      <formula>10</formula>
    </cfRule>
  </conditionalFormatting>
  <pageMargins left="0.7" right="0.7" top="0.78740157499999996" bottom="0.78740157499999996" header="0.3" footer="0.3"/>
  <pageSetup paperSize="9" orientation="portrait" verticalDpi="200" r:id="rId2"/>
  <headerFooter>
    <oddFooter>&amp;LFrei verwendbar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J14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9" sqref="F9"/>
    </sheetView>
  </sheetViews>
  <sheetFormatPr baseColWidth="10" defaultColWidth="11.7109375" defaultRowHeight="12.75" x14ac:dyDescent="0.2"/>
  <cols>
    <col min="1" max="1" width="30.7109375" customWidth="1"/>
    <col min="2" max="2" width="25.7109375" bestFit="1" customWidth="1"/>
  </cols>
  <sheetData>
    <row r="1" spans="1:10" x14ac:dyDescent="0.2">
      <c r="A1" s="3" t="s">
        <v>9</v>
      </c>
      <c r="B1" s="19" t="s">
        <v>42</v>
      </c>
    </row>
    <row r="2" spans="1:10" x14ac:dyDescent="0.2">
      <c r="A2" s="3" t="s">
        <v>20</v>
      </c>
      <c r="B2" t="s">
        <v>21</v>
      </c>
    </row>
    <row r="4" spans="1:10" x14ac:dyDescent="0.2">
      <c r="A4" s="3" t="s">
        <v>7</v>
      </c>
      <c r="C4" s="3" t="s">
        <v>10</v>
      </c>
      <c r="D4" s="3" t="s">
        <v>1</v>
      </c>
    </row>
    <row r="5" spans="1:10" x14ac:dyDescent="0.2">
      <c r="C5" s="14">
        <v>1</v>
      </c>
      <c r="F5" s="21" t="s">
        <v>41</v>
      </c>
      <c r="G5" s="14">
        <v>2</v>
      </c>
      <c r="I5" s="21" t="s">
        <v>75</v>
      </c>
      <c r="J5" s="14" t="s">
        <v>3</v>
      </c>
    </row>
    <row r="6" spans="1:10" x14ac:dyDescent="0.2">
      <c r="A6" s="3" t="s">
        <v>12</v>
      </c>
      <c r="B6" s="3" t="s">
        <v>11</v>
      </c>
      <c r="C6" s="17">
        <v>42739</v>
      </c>
      <c r="D6" s="17">
        <v>42740</v>
      </c>
      <c r="E6" s="17">
        <v>42741</v>
      </c>
      <c r="F6" s="22"/>
      <c r="G6" s="17">
        <v>42744</v>
      </c>
      <c r="H6" s="17">
        <v>42745</v>
      </c>
      <c r="I6" s="22"/>
    </row>
    <row r="7" spans="1:10" x14ac:dyDescent="0.2">
      <c r="A7" t="s">
        <v>22</v>
      </c>
      <c r="B7" t="s">
        <v>13</v>
      </c>
      <c r="C7" s="4"/>
      <c r="D7" s="4"/>
      <c r="E7" s="4">
        <v>0</v>
      </c>
      <c r="F7" s="23">
        <v>0</v>
      </c>
      <c r="G7" s="4"/>
      <c r="H7" s="4"/>
      <c r="I7" s="23"/>
      <c r="J7" s="4">
        <v>0</v>
      </c>
    </row>
    <row r="8" spans="1:10" x14ac:dyDescent="0.2">
      <c r="A8" t="s">
        <v>29</v>
      </c>
      <c r="B8" t="s">
        <v>28</v>
      </c>
      <c r="C8" s="4">
        <v>2.4666666666744277</v>
      </c>
      <c r="D8" s="4">
        <v>0.9833333333954215</v>
      </c>
      <c r="E8" s="4"/>
      <c r="F8" s="23">
        <v>3.4500000000698492</v>
      </c>
      <c r="G8" s="4"/>
      <c r="H8" s="4">
        <v>0.8333333334303461</v>
      </c>
      <c r="I8" s="23">
        <v>0.8333333334303461</v>
      </c>
      <c r="J8" s="4">
        <v>4.2833333335001953</v>
      </c>
    </row>
    <row r="9" spans="1:10" x14ac:dyDescent="0.2">
      <c r="A9" t="s">
        <v>31</v>
      </c>
      <c r="B9" t="s">
        <v>30</v>
      </c>
      <c r="C9" s="4">
        <v>6.6333333333022892</v>
      </c>
      <c r="D9" s="4">
        <v>7.9499999998952262</v>
      </c>
      <c r="E9" s="4"/>
      <c r="F9" s="23">
        <v>14.583333333197515</v>
      </c>
      <c r="G9" s="4">
        <v>0.25000000011641532</v>
      </c>
      <c r="H9" s="4">
        <v>2.8333333333139308</v>
      </c>
      <c r="I9" s="23">
        <v>3.0833333334303461</v>
      </c>
      <c r="J9" s="4">
        <v>17.666666666627862</v>
      </c>
    </row>
    <row r="10" spans="1:10" x14ac:dyDescent="0.2">
      <c r="A10" t="s">
        <v>33</v>
      </c>
      <c r="B10" t="s">
        <v>32</v>
      </c>
      <c r="C10" s="4">
        <v>0.79999999998835847</v>
      </c>
      <c r="D10" s="4"/>
      <c r="E10" s="4"/>
      <c r="F10" s="23">
        <v>0.79999999998835847</v>
      </c>
      <c r="G10" s="4">
        <v>0.18333333323244005</v>
      </c>
      <c r="H10" s="4">
        <v>1.5666666667093523</v>
      </c>
      <c r="I10" s="23">
        <v>1.7499999999417923</v>
      </c>
      <c r="J10" s="4">
        <v>2.5499999999301508</v>
      </c>
    </row>
    <row r="11" spans="1:10" x14ac:dyDescent="0.2">
      <c r="A11" t="s">
        <v>36</v>
      </c>
      <c r="B11" t="s">
        <v>35</v>
      </c>
      <c r="C11" s="4"/>
      <c r="D11" s="4"/>
      <c r="E11" s="4"/>
      <c r="F11" s="23"/>
      <c r="G11" s="4">
        <v>5.0333333333255723</v>
      </c>
      <c r="H11" s="4">
        <v>1.78333333338378</v>
      </c>
      <c r="I11" s="23">
        <v>6.8166666667093523</v>
      </c>
      <c r="J11" s="4">
        <v>6.8166666667093523</v>
      </c>
    </row>
    <row r="12" spans="1:10" x14ac:dyDescent="0.2">
      <c r="A12" t="s">
        <v>38</v>
      </c>
      <c r="B12" t="s">
        <v>37</v>
      </c>
      <c r="C12" s="4"/>
      <c r="D12" s="4"/>
      <c r="E12" s="4"/>
      <c r="F12" s="23"/>
      <c r="G12" s="4">
        <v>2.1666666667442769</v>
      </c>
      <c r="H12" s="4"/>
      <c r="I12" s="23">
        <v>2.1666666667442769</v>
      </c>
      <c r="J12" s="4">
        <v>2.1666666667442769</v>
      </c>
    </row>
    <row r="13" spans="1:10" x14ac:dyDescent="0.2">
      <c r="A13" t="s">
        <v>40</v>
      </c>
      <c r="B13" t="s">
        <v>39</v>
      </c>
      <c r="C13" s="4"/>
      <c r="D13" s="4"/>
      <c r="E13" s="4"/>
      <c r="F13" s="23"/>
      <c r="G13" s="4"/>
      <c r="H13" s="4">
        <v>0.33333333319751546</v>
      </c>
      <c r="I13" s="23">
        <v>0.33333333319751546</v>
      </c>
      <c r="J13" s="4">
        <v>0.33333333319751546</v>
      </c>
    </row>
    <row r="14" spans="1:10" x14ac:dyDescent="0.2">
      <c r="A14" t="s">
        <v>3</v>
      </c>
      <c r="C14" s="4">
        <v>9.8999999999650754</v>
      </c>
      <c r="D14" s="4">
        <v>8.9333333332906477</v>
      </c>
      <c r="E14" s="4">
        <v>0</v>
      </c>
      <c r="F14" s="23">
        <v>18.833333333255723</v>
      </c>
      <c r="G14" s="4">
        <v>7.6333333334187046</v>
      </c>
      <c r="H14" s="4">
        <v>7.3500000000349246</v>
      </c>
      <c r="I14" s="23">
        <v>14.983333333453629</v>
      </c>
      <c r="J14" s="4">
        <v>33.816666666709352</v>
      </c>
    </row>
  </sheetData>
  <conditionalFormatting pivot="1" sqref="J7:J14">
    <cfRule type="cellIs" dxfId="2" priority="1" operator="greaterThan">
      <formula>10</formula>
    </cfRule>
  </conditionalFormatting>
  <pageMargins left="0.7" right="0.7" top="0.78740157499999996" bottom="0.78740157499999996" header="0.3" footer="0.3"/>
  <pageSetup paperSize="9" orientation="portrait" verticalDpi="200" r:id="rId2"/>
  <headerFooter>
    <oddFooter>&amp;LFrei verwendbar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9"/>
  <sheetViews>
    <sheetView tabSelected="1" workbookViewId="0">
      <selection activeCell="B9" sqref="B9"/>
    </sheetView>
  </sheetViews>
  <sheetFormatPr baseColWidth="10" defaultRowHeight="12.75" x14ac:dyDescent="0.2"/>
  <cols>
    <col min="1" max="1" width="16.5703125" customWidth="1"/>
    <col min="2" max="2" width="59.5703125" customWidth="1"/>
  </cols>
  <sheetData>
    <row r="1" spans="1:2" x14ac:dyDescent="0.2">
      <c r="A1" s="24" t="s">
        <v>23</v>
      </c>
      <c r="B1" s="25"/>
    </row>
    <row r="2" spans="1:2" x14ac:dyDescent="0.2">
      <c r="A2" s="26"/>
      <c r="B2" s="25"/>
    </row>
    <row r="3" spans="1:2" x14ac:dyDescent="0.2">
      <c r="A3" s="27" t="s">
        <v>76</v>
      </c>
      <c r="B3" s="28"/>
    </row>
    <row r="4" spans="1:2" x14ac:dyDescent="0.2">
      <c r="A4" s="29"/>
      <c r="B4" s="30"/>
    </row>
    <row r="5" spans="1:2" x14ac:dyDescent="0.2">
      <c r="A5" s="29" t="s">
        <v>24</v>
      </c>
      <c r="B5" s="30" t="s">
        <v>25</v>
      </c>
    </row>
    <row r="6" spans="1:2" x14ac:dyDescent="0.2">
      <c r="A6" s="29"/>
      <c r="B6" s="30" t="s">
        <v>26</v>
      </c>
    </row>
    <row r="7" spans="1:2" x14ac:dyDescent="0.2">
      <c r="A7" s="31"/>
      <c r="B7" s="32"/>
    </row>
    <row r="9" spans="1:2" x14ac:dyDescent="0.2">
      <c r="A9" s="15" t="s">
        <v>18</v>
      </c>
      <c r="B9" t="s">
        <v>27</v>
      </c>
    </row>
  </sheetData>
  <pageMargins left="0.7" right="0.7" top="0.78740157499999996" bottom="0.78740157499999996" header="0.3" footer="0.3"/>
  <pageSetup paperSize="9" orientation="portrait" verticalDpi="0" r:id="rId1"/>
  <headerFooter>
    <oddFooter>&amp;LFrei verwendbar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Original</vt:lpstr>
      <vt:lpstr>Start-Ende</vt:lpstr>
      <vt:lpstr>Themen (1)</vt:lpstr>
      <vt:lpstr>Themen (2)</vt:lpstr>
      <vt:lpstr>Einstellungen</vt:lpstr>
      <vt:lpstr>Daten</vt:lpstr>
      <vt:lpstr>ZEITSTEMPEL_FILE</vt:lpstr>
    </vt:vector>
  </TitlesOfParts>
  <Company>Siemens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Hofer, Andreas</dc:creator>
  <cp:keywords>C_Unrestricted</cp:keywords>
  <cp:lastModifiedBy>Hofer, Andreas</cp:lastModifiedBy>
  <dcterms:created xsi:type="dcterms:W3CDTF">2015-07-20T20:37:25Z</dcterms:created>
  <dcterms:modified xsi:type="dcterms:W3CDTF">2016-12-16T21:28:58Z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</Properties>
</file>